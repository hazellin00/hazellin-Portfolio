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taise2017.sharepoint.com/sites/2019/Shared Documents/2023 111GF03 第七屆台北金鵰微電影展/"/>
    </mc:Choice>
  </mc:AlternateContent>
  <xr:revisionPtr revIDLastSave="4866" documentId="8_{EE243B07-D0F8-4D50-9002-196C82C0CCAB}" xr6:coauthVersionLast="47" xr6:coauthVersionMax="47" xr10:uidLastSave="{2FD2EDEE-3D8D-4E73-B265-AA2BD23F9527}"/>
  <bookViews>
    <workbookView xWindow="-105" yWindow="0" windowWidth="19425" windowHeight="15585" tabRatio="391" activeTab="5" xr2:uid="{296E7CC0-5118-4AAE-B32C-AE32E375A9E8}"/>
  </bookViews>
  <sheets>
    <sheet name="徵件趨勢" sheetId="3" r:id="rId1"/>
    <sheet name="工作坊趨勢" sheetId="11" state="hidden" r:id="rId2"/>
    <sheet name="2023報名" sheetId="9" r:id="rId3"/>
    <sheet name="徵件-歷屆每週趨勢" sheetId="2" state="hidden" r:id="rId4"/>
    <sheet name="歷屆網路人氣獎" sheetId="4" r:id="rId5"/>
    <sheet name="參獎過的企業總表" sheetId="1" r:id="rId6"/>
    <sheet name="工作表1" sheetId="12" r:id="rId7"/>
    <sheet name="頒獎典禮_每日趨勢" sheetId="7" state="hidden" r:id="rId8"/>
  </sheets>
  <definedNames>
    <definedName name="_xlnm._FilterDatabase" localSheetId="5" hidden="1">參獎過的企業總表!$A$1:$C$105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4" i="1"/>
  <c r="T5" i="1"/>
  <c r="T6" i="1"/>
  <c r="T3" i="1"/>
  <c r="S8" i="1"/>
  <c r="R4" i="1"/>
  <c r="R5" i="1"/>
  <c r="R6" i="1"/>
  <c r="R3" i="1"/>
  <c r="Q8" i="1"/>
  <c r="P118" i="1"/>
  <c r="M119" i="1"/>
  <c r="E95" i="3"/>
  <c r="E93" i="3"/>
  <c r="E94" i="3" s="1"/>
  <c r="E92" i="3"/>
  <c r="M115" i="1"/>
  <c r="N115" i="1"/>
  <c r="O115" i="1"/>
  <c r="M116" i="1"/>
  <c r="N116" i="1"/>
  <c r="O116" i="1"/>
  <c r="M117" i="1"/>
  <c r="N117" i="1"/>
  <c r="O117" i="1"/>
  <c r="P117" i="1"/>
  <c r="M118" i="1"/>
  <c r="N118" i="1"/>
  <c r="O118" i="1"/>
  <c r="N114" i="1"/>
  <c r="O114" i="1"/>
  <c r="M114" i="1"/>
  <c r="E91" i="3"/>
  <c r="E90" i="3"/>
  <c r="E89" i="3"/>
  <c r="P115" i="1"/>
  <c r="P116" i="1"/>
  <c r="P114" i="1"/>
  <c r="E88" i="3"/>
  <c r="E87" i="3"/>
  <c r="E86" i="3"/>
  <c r="E85" i="3"/>
  <c r="E84" i="3"/>
  <c r="E81" i="3"/>
  <c r="E82" i="3" s="1"/>
  <c r="E83" i="3" s="1"/>
  <c r="E80" i="3"/>
  <c r="E79" i="3"/>
  <c r="E78" i="3"/>
  <c r="E77" i="3"/>
  <c r="E74" i="3"/>
  <c r="E75" i="3" s="1"/>
  <c r="E76" i="3" s="1"/>
  <c r="E73" i="3"/>
  <c r="N119" i="1"/>
  <c r="O119" i="1"/>
  <c r="E72" i="3"/>
  <c r="E70" i="3"/>
  <c r="E71" i="3"/>
  <c r="E68" i="3"/>
  <c r="E69" i="3" s="1"/>
  <c r="E67" i="3"/>
  <c r="E66" i="3"/>
  <c r="E61" i="3"/>
  <c r="E62" i="3"/>
  <c r="E63" i="3"/>
  <c r="E64" i="3"/>
  <c r="E65" i="3"/>
  <c r="E59" i="3"/>
  <c r="E60" i="3"/>
  <c r="E58" i="3"/>
  <c r="E57" i="3"/>
  <c r="E55" i="3"/>
  <c r="E56" i="3"/>
  <c r="E54" i="3"/>
  <c r="E53" i="3"/>
  <c r="E52" i="3"/>
  <c r="E51" i="3"/>
  <c r="E50" i="3"/>
  <c r="E49" i="3"/>
  <c r="E46" i="3"/>
  <c r="E47" i="3"/>
  <c r="E48" i="3" s="1"/>
  <c r="E40" i="3"/>
  <c r="E41" i="3"/>
  <c r="E42" i="3" s="1"/>
  <c r="E43" i="3" s="1"/>
  <c r="E44" i="3" s="1"/>
  <c r="E45" i="3" s="1"/>
  <c r="E39" i="3"/>
  <c r="E18" i="3"/>
  <c r="E19" i="3"/>
  <c r="E20" i="3" s="1"/>
  <c r="E21" i="3" s="1"/>
  <c r="E22" i="3" s="1"/>
  <c r="E23" i="3" s="1"/>
  <c r="E24" i="3" s="1"/>
  <c r="E28" i="3"/>
  <c r="E29" i="3" s="1"/>
  <c r="E30" i="3" s="1"/>
  <c r="E31" i="3" s="1"/>
  <c r="E32" i="3" s="1"/>
  <c r="E33" i="3" s="1"/>
  <c r="E34" i="3" s="1"/>
  <c r="E38" i="3"/>
  <c r="B20" i="11"/>
  <c r="B21" i="11"/>
  <c r="E11" i="3"/>
  <c r="E12" i="3" s="1"/>
  <c r="E13" i="3" s="1"/>
  <c r="E14" i="3" s="1"/>
  <c r="B18" i="11"/>
  <c r="B19" i="11"/>
  <c r="B17" i="11"/>
  <c r="B15" i="11"/>
  <c r="B16" i="11"/>
  <c r="E8" i="3"/>
  <c r="E9" i="3"/>
  <c r="E10" i="3"/>
  <c r="E7" i="3"/>
  <c r="B14" i="11"/>
  <c r="B13" i="11"/>
  <c r="B9" i="11"/>
  <c r="B10" i="11"/>
  <c r="B11" i="11"/>
  <c r="B12" i="11"/>
  <c r="B8" i="11"/>
  <c r="B7" i="11"/>
  <c r="B6" i="11"/>
  <c r="B2" i="11"/>
  <c r="B3" i="11" s="1"/>
  <c r="B4" i="11" s="1"/>
  <c r="B5" i="11" s="1"/>
  <c r="P119" i="1" l="1"/>
</calcChain>
</file>

<file path=xl/sharedStrings.xml><?xml version="1.0" encoding="utf-8"?>
<sst xmlns="http://schemas.openxmlformats.org/spreadsheetml/2006/main" count="1136" uniqueCount="494">
  <si>
    <t>剩餘天數</t>
    <phoneticPr fontId="1" type="noConversion"/>
  </si>
  <si>
    <t>日期</t>
    <phoneticPr fontId="1" type="noConversion"/>
  </si>
  <si>
    <t>本日新增</t>
    <phoneticPr fontId="1" type="noConversion"/>
  </si>
  <si>
    <t>日期</t>
    <phoneticPr fontId="4" type="noConversion"/>
  </si>
  <si>
    <t>2023年</t>
    <phoneticPr fontId="1" type="noConversion"/>
  </si>
  <si>
    <t>當日報名人數</t>
    <phoneticPr fontId="1" type="noConversion"/>
  </si>
  <si>
    <t>報名企業名稱</t>
    <phoneticPr fontId="1" type="noConversion"/>
  </si>
  <si>
    <t>繳交檔案</t>
    <phoneticPr fontId="1" type="noConversion"/>
  </si>
  <si>
    <t>報名費</t>
    <phoneticPr fontId="1" type="noConversion"/>
  </si>
  <si>
    <t>發票開立</t>
    <phoneticPr fontId="1" type="noConversion"/>
  </si>
  <si>
    <t>回信確認</t>
    <phoneticPr fontId="1" type="noConversion"/>
  </si>
  <si>
    <t>備註</t>
    <phoneticPr fontId="1" type="noConversion"/>
  </si>
  <si>
    <t>參加者</t>
    <phoneticPr fontId="1" type="noConversion"/>
  </si>
  <si>
    <t>統一綜合證券股份有限公司</t>
  </si>
  <si>
    <t>V</t>
  </si>
  <si>
    <t>V</t>
    <phoneticPr fontId="1" type="noConversion"/>
  </si>
  <si>
    <t>HM20381386</t>
    <phoneticPr fontId="1" type="noConversion"/>
  </si>
  <si>
    <t>陳委君</t>
    <phoneticPr fontId="1" type="noConversion"/>
  </si>
  <si>
    <t xml:space="preserve">財團法人台北富邦銀行公益慈善基金會 </t>
    <phoneticPr fontId="1" type="noConversion"/>
  </si>
  <si>
    <t xml:space="preserve">	HM20381420</t>
    <phoneticPr fontId="1" type="noConversion"/>
  </si>
  <si>
    <t>黃展雲</t>
    <phoneticPr fontId="1" type="noConversion"/>
  </si>
  <si>
    <t>全球人壽保險股份有限公司</t>
    <phoneticPr fontId="1" type="noConversion"/>
  </si>
  <si>
    <t xml:space="preserve">	KK07833703</t>
    <phoneticPr fontId="1" type="noConversion"/>
  </si>
  <si>
    <t>陳淑雅</t>
    <phoneticPr fontId="1" type="noConversion"/>
  </si>
  <si>
    <t>華新麗華股份有限公司</t>
  </si>
  <si>
    <t xml:space="preserve">	KK07833704</t>
    <phoneticPr fontId="1" type="noConversion"/>
  </si>
  <si>
    <t>廖晏葶</t>
    <phoneticPr fontId="1" type="noConversion"/>
  </si>
  <si>
    <t>誠製映画有限公司</t>
    <phoneticPr fontId="1" type="noConversion"/>
  </si>
  <si>
    <t xml:space="preserve">	KK07833716</t>
    <phoneticPr fontId="1" type="noConversion"/>
  </si>
  <si>
    <t>程永縈</t>
    <phoneticPr fontId="1" type="noConversion"/>
  </si>
  <si>
    <t>富邦慈善基金會</t>
    <phoneticPr fontId="1" type="noConversion"/>
  </si>
  <si>
    <t>KK07833840</t>
    <phoneticPr fontId="1" type="noConversion"/>
  </si>
  <si>
    <t>邱子瑜</t>
    <phoneticPr fontId="1" type="noConversion"/>
  </si>
  <si>
    <t>國泰人壽保險股份有限公司</t>
  </si>
  <si>
    <t>貌似</t>
    <phoneticPr fontId="1" type="noConversion"/>
  </si>
  <si>
    <t xml:space="preserve">	KK07833845</t>
    <phoneticPr fontId="1" type="noConversion"/>
  </si>
  <si>
    <t>對方尚未回傳匯款單據(不過已於93認列)</t>
    <phoneticPr fontId="1" type="noConversion"/>
  </si>
  <si>
    <t>莊婉君</t>
    <phoneticPr fontId="1" type="noConversion"/>
  </si>
  <si>
    <t xml:space="preserve">	台灣化學纖維股份有限公司</t>
    <phoneticPr fontId="1" type="noConversion"/>
  </si>
  <si>
    <t>KK07833914</t>
    <phoneticPr fontId="1" type="noConversion"/>
  </si>
  <si>
    <t>賴吟明</t>
    <phoneticPr fontId="1" type="noConversion"/>
  </si>
  <si>
    <t xml:space="preserve">國立臺灣大學原住民族研究中心 </t>
    <phoneticPr fontId="1" type="noConversion"/>
  </si>
  <si>
    <t>KK07833916</t>
    <phoneticPr fontId="1" type="noConversion"/>
  </si>
  <si>
    <t>陳巧寧</t>
    <phoneticPr fontId="1" type="noConversion"/>
  </si>
  <si>
    <t>星展（台灣）商業銀行股份有限公司</t>
    <phoneticPr fontId="1" type="noConversion"/>
  </si>
  <si>
    <t>KK07833920</t>
    <phoneticPr fontId="1" type="noConversion"/>
  </si>
  <si>
    <t>蔣云恩</t>
    <phoneticPr fontId="1" type="noConversion"/>
  </si>
  <si>
    <t>第一商業銀行</t>
    <phoneticPr fontId="1" type="noConversion"/>
  </si>
  <si>
    <t xml:space="preserve">	KK07833980</t>
    <phoneticPr fontId="1" type="noConversion"/>
  </si>
  <si>
    <t>林柏宏</t>
    <phoneticPr fontId="1" type="noConversion"/>
  </si>
  <si>
    <t>南亞科技股份有限公司</t>
    <phoneticPr fontId="1" type="noConversion"/>
  </si>
  <si>
    <t xml:space="preserve">	KK07833918</t>
    <phoneticPr fontId="1" type="noConversion"/>
  </si>
  <si>
    <t>洪若茵</t>
    <phoneticPr fontId="1" type="noConversion"/>
  </si>
  <si>
    <t xml:space="preserve">	海洋委員會海洋保育署</t>
    <phoneticPr fontId="1" type="noConversion"/>
  </si>
  <si>
    <t xml:space="preserve">	MK74403150</t>
    <phoneticPr fontId="1" type="noConversion"/>
  </si>
  <si>
    <t>陳彥宇</t>
    <phoneticPr fontId="1" type="noConversion"/>
  </si>
  <si>
    <t>裕融企業股份有限公司</t>
    <phoneticPr fontId="1" type="noConversion"/>
  </si>
  <si>
    <t>MK74403416</t>
    <phoneticPr fontId="1" type="noConversion"/>
  </si>
  <si>
    <t>彭耀德</t>
    <phoneticPr fontId="1" type="noConversion"/>
  </si>
  <si>
    <t>中華航空股份有限公司</t>
    <phoneticPr fontId="1" type="noConversion"/>
  </si>
  <si>
    <t>MK74403412</t>
    <phoneticPr fontId="1" type="noConversion"/>
  </si>
  <si>
    <t>陳羿靜</t>
    <phoneticPr fontId="1" type="noConversion"/>
  </si>
  <si>
    <t>衛生福利部國民健康署</t>
    <phoneticPr fontId="1" type="noConversion"/>
  </si>
  <si>
    <t xml:space="preserve">	MK74403413</t>
    <phoneticPr fontId="1" type="noConversion"/>
  </si>
  <si>
    <t xml:space="preserve">	王浩宇</t>
    <phoneticPr fontId="1" type="noConversion"/>
  </si>
  <si>
    <t>台灣中油股份有限公司</t>
    <phoneticPr fontId="1" type="noConversion"/>
  </si>
  <si>
    <t xml:space="preserve">	MK74403415</t>
    <phoneticPr fontId="1" type="noConversion"/>
  </si>
  <si>
    <t xml:space="preserve">陳旻靖 </t>
    <phoneticPr fontId="1" type="noConversion"/>
  </si>
  <si>
    <t>臺北市政府工務局新建工程處</t>
    <phoneticPr fontId="1" type="noConversion"/>
  </si>
  <si>
    <t xml:space="preserve">	MK74403417</t>
    <phoneticPr fontId="1" type="noConversion"/>
  </si>
  <si>
    <t>李長勳</t>
    <phoneticPr fontId="1" type="noConversion"/>
  </si>
  <si>
    <t>臺北市政府工務局水利處</t>
    <phoneticPr fontId="1" type="noConversion"/>
  </si>
  <si>
    <t xml:space="preserve">	MK74403530</t>
    <phoneticPr fontId="1" type="noConversion"/>
  </si>
  <si>
    <t>王子豪</t>
    <phoneticPr fontId="1" type="noConversion"/>
  </si>
  <si>
    <t>銓興營造有限公司</t>
    <phoneticPr fontId="1" type="noConversion"/>
  </si>
  <si>
    <t>MK74403421</t>
    <phoneticPr fontId="1" type="noConversion"/>
  </si>
  <si>
    <t>張文宗</t>
    <phoneticPr fontId="1" type="noConversion"/>
  </si>
  <si>
    <t>財團法人國際合作發展基金會</t>
    <phoneticPr fontId="1" type="noConversion"/>
  </si>
  <si>
    <t xml:space="preserve">	MK74403419</t>
    <phoneticPr fontId="1" type="noConversion"/>
  </si>
  <si>
    <t>楊詒婷</t>
    <phoneticPr fontId="1" type="noConversion"/>
  </si>
  <si>
    <t>永豐商業銀行股份有限公司1</t>
    <phoneticPr fontId="1" type="noConversion"/>
  </si>
  <si>
    <t>MK74403420</t>
    <phoneticPr fontId="1" type="noConversion"/>
  </si>
  <si>
    <t>改袁若庭(02-25088834)yrtin816@sinopac.com</t>
    <phoneticPr fontId="1" type="noConversion"/>
  </si>
  <si>
    <t>盧妍至</t>
    <phoneticPr fontId="1" type="noConversion"/>
  </si>
  <si>
    <t>永豐商業銀行股份有限公司2</t>
    <phoneticPr fontId="1" type="noConversion"/>
  </si>
  <si>
    <t xml:space="preserve">	MK74403422</t>
    <phoneticPr fontId="1" type="noConversion"/>
  </si>
  <si>
    <t>不提供後五碼</t>
    <phoneticPr fontId="1" type="noConversion"/>
  </si>
  <si>
    <t>謝金順</t>
  </si>
  <si>
    <t>長庚大學</t>
    <phoneticPr fontId="1" type="noConversion"/>
  </si>
  <si>
    <t xml:space="preserve">	MK74403567</t>
    <phoneticPr fontId="1" type="noConversion"/>
  </si>
  <si>
    <t>許子璇</t>
    <phoneticPr fontId="1" type="noConversion"/>
  </si>
  <si>
    <t>財團法人統一超商好鄰居文教基金會1</t>
    <phoneticPr fontId="1" type="noConversion"/>
  </si>
  <si>
    <t xml:space="preserve">	MK74403499</t>
    <phoneticPr fontId="1" type="noConversion"/>
  </si>
  <si>
    <t>青年深根</t>
    <phoneticPr fontId="1" type="noConversion"/>
  </si>
  <si>
    <t>郭玫伶</t>
    <phoneticPr fontId="1" type="noConversion"/>
  </si>
  <si>
    <t>超耐綠科技有限公司</t>
    <phoneticPr fontId="1" type="noConversion"/>
  </si>
  <si>
    <t>MK74403509</t>
    <phoneticPr fontId="1" type="noConversion"/>
  </si>
  <si>
    <t>何允哲</t>
    <phoneticPr fontId="1" type="noConversion"/>
  </si>
  <si>
    <t>財團法人中國信託商業銀行文教基金會</t>
  </si>
  <si>
    <t xml:space="preserve">	MK74403522</t>
    <phoneticPr fontId="1" type="noConversion"/>
  </si>
  <si>
    <t xml:space="preserve">黃郁涵 </t>
    <phoneticPr fontId="1" type="noConversion"/>
  </si>
  <si>
    <t>和泰汽車股份有限公司</t>
    <phoneticPr fontId="1" type="noConversion"/>
  </si>
  <si>
    <t>MK74403523</t>
    <phoneticPr fontId="1" type="noConversion"/>
  </si>
  <si>
    <t>蕭詠安</t>
    <phoneticPr fontId="1" type="noConversion"/>
  </si>
  <si>
    <t>財團法人統一超商好鄰居文教基金會2</t>
    <phoneticPr fontId="1" type="noConversion"/>
  </si>
  <si>
    <t xml:space="preserve">	MK74403524</t>
    <phoneticPr fontId="1" type="noConversion"/>
  </si>
  <si>
    <t>閱讀課</t>
    <phoneticPr fontId="1" type="noConversion"/>
  </si>
  <si>
    <t>薛思彥</t>
    <phoneticPr fontId="1" type="noConversion"/>
  </si>
  <si>
    <t>致伸科技股份有限公司</t>
    <phoneticPr fontId="1" type="noConversion"/>
  </si>
  <si>
    <t xml:space="preserve">	MK74403559</t>
    <phoneticPr fontId="1" type="noConversion"/>
  </si>
  <si>
    <t>郭亞陵</t>
    <phoneticPr fontId="1" type="noConversion"/>
  </si>
  <si>
    <t>中國信託商業銀行股份有限公司</t>
    <phoneticPr fontId="1" type="noConversion"/>
  </si>
  <si>
    <t>MK74403534</t>
    <phoneticPr fontId="1" type="noConversion"/>
  </si>
  <si>
    <t>邱夢瑾</t>
    <phoneticPr fontId="1" type="noConversion"/>
  </si>
  <si>
    <t>財團法人明志科技大學</t>
    <phoneticPr fontId="1" type="noConversion"/>
  </si>
  <si>
    <t>MK74403540</t>
    <phoneticPr fontId="1" type="noConversion"/>
  </si>
  <si>
    <t>洪若瑜</t>
    <phoneticPr fontId="1" type="noConversion"/>
  </si>
  <si>
    <t>大葉大學1</t>
    <phoneticPr fontId="1" type="noConversion"/>
  </si>
  <si>
    <t xml:space="preserve">	MK74403546</t>
    <phoneticPr fontId="1" type="noConversion"/>
  </si>
  <si>
    <t>蘇威印</t>
    <phoneticPr fontId="1" type="noConversion"/>
  </si>
  <si>
    <t>大葉大學2</t>
    <phoneticPr fontId="1" type="noConversion"/>
  </si>
  <si>
    <t xml:space="preserve">	MK74403545</t>
    <phoneticPr fontId="1" type="noConversion"/>
  </si>
  <si>
    <t>張芳瑜</t>
    <phoneticPr fontId="1" type="noConversion"/>
  </si>
  <si>
    <t>國立成功大學</t>
    <phoneticPr fontId="1" type="noConversion"/>
  </si>
  <si>
    <t xml:space="preserve">	MK74403553</t>
    <phoneticPr fontId="1" type="noConversion"/>
  </si>
  <si>
    <t xml:space="preserve">	陳玟伶</t>
    <phoneticPr fontId="1" type="noConversion"/>
  </si>
  <si>
    <t>台北富邦商業銀行股份有限公司</t>
    <phoneticPr fontId="1" type="noConversion"/>
  </si>
  <si>
    <t xml:space="preserve">	MK74403551</t>
    <phoneticPr fontId="1" type="noConversion"/>
  </si>
  <si>
    <t>李怡賢</t>
    <phoneticPr fontId="1" type="noConversion"/>
  </si>
  <si>
    <t>中華電信股份有限公司</t>
    <phoneticPr fontId="1" type="noConversion"/>
  </si>
  <si>
    <t xml:space="preserve">	MK74403609</t>
    <phoneticPr fontId="1" type="noConversion"/>
  </si>
  <si>
    <t>龔維揚</t>
    <phoneticPr fontId="1" type="noConversion"/>
  </si>
  <si>
    <t>文化部文化資產局</t>
  </si>
  <si>
    <t>MK74403554</t>
    <phoneticPr fontId="1" type="noConversion"/>
  </si>
  <si>
    <t>蔡譯瑩</t>
    <phoneticPr fontId="1" type="noConversion"/>
  </si>
  <si>
    <t>台灣福興工業股份有限公司</t>
    <phoneticPr fontId="1" type="noConversion"/>
  </si>
  <si>
    <t>MK74403616</t>
    <phoneticPr fontId="1" type="noConversion"/>
  </si>
  <si>
    <t>黃瑗瑗</t>
    <phoneticPr fontId="1" type="noConversion"/>
  </si>
  <si>
    <t>富邦產物保險股份有限公司</t>
    <phoneticPr fontId="1" type="noConversion"/>
  </si>
  <si>
    <t>MK74403556</t>
    <phoneticPr fontId="1" type="noConversion"/>
  </si>
  <si>
    <t xml:space="preserve">	黃怡慈</t>
    <phoneticPr fontId="1" type="noConversion"/>
  </si>
  <si>
    <t>普萊德科技股份有限公司</t>
  </si>
  <si>
    <t xml:space="preserve">	MK74403560</t>
    <phoneticPr fontId="1" type="noConversion"/>
  </si>
  <si>
    <t>李盈慧</t>
    <phoneticPr fontId="1" type="noConversion"/>
  </si>
  <si>
    <t>太平洋崇光百貨股份有限公司(遠東SOGO百貨)</t>
    <phoneticPr fontId="1" type="noConversion"/>
  </si>
  <si>
    <t>MK74403391</t>
    <phoneticPr fontId="1" type="noConversion"/>
  </si>
  <si>
    <t>如獲獎需確認名稱要用哪個</t>
    <phoneticPr fontId="1" type="noConversion"/>
  </si>
  <si>
    <t>黃安蕙</t>
    <phoneticPr fontId="1" type="noConversion"/>
  </si>
  <si>
    <t>台灣電力股份有限公司</t>
  </si>
  <si>
    <t>MK74403561</t>
    <phoneticPr fontId="1" type="noConversion"/>
  </si>
  <si>
    <t>王騰瑢</t>
    <phoneticPr fontId="1" type="noConversion"/>
  </si>
  <si>
    <t>萬海航運股份有限公司</t>
    <phoneticPr fontId="1" type="noConversion"/>
  </si>
  <si>
    <t>MK74403566</t>
    <phoneticPr fontId="1" type="noConversion"/>
  </si>
  <si>
    <t>柳喬茵</t>
    <phoneticPr fontId="1" type="noConversion"/>
  </si>
  <si>
    <t>振宇五金股份有限公司</t>
    <phoneticPr fontId="1" type="noConversion"/>
  </si>
  <si>
    <t>MK74403562</t>
    <phoneticPr fontId="1" type="noConversion"/>
  </si>
  <si>
    <t>陳資禮</t>
    <phoneticPr fontId="1" type="noConversion"/>
  </si>
  <si>
    <t xml:space="preserve">	新北市政府資訊中心</t>
    <phoneticPr fontId="1" type="noConversion"/>
  </si>
  <si>
    <t>MK74403591</t>
    <phoneticPr fontId="1" type="noConversion"/>
  </si>
  <si>
    <t>王淑貞</t>
    <phoneticPr fontId="1" type="noConversion"/>
  </si>
  <si>
    <t>xe5479@ntpc.gov.tw</t>
    <phoneticPr fontId="1" type="noConversion"/>
  </si>
  <si>
    <t>中鼎工程股份有限公司</t>
    <phoneticPr fontId="1" type="noConversion"/>
  </si>
  <si>
    <t>MK74403594</t>
    <phoneticPr fontId="1" type="noConversion"/>
  </si>
  <si>
    <t>黃麗珊</t>
    <phoneticPr fontId="1" type="noConversion"/>
  </si>
  <si>
    <t>新北市政府城鄉發展局1</t>
    <phoneticPr fontId="1" type="noConversion"/>
  </si>
  <si>
    <t>MK74403604</t>
    <phoneticPr fontId="1" type="noConversion"/>
  </si>
  <si>
    <t>綜合規劃科(五股)</t>
    <phoneticPr fontId="1" type="noConversion"/>
  </si>
  <si>
    <t>鍾函儒</t>
    <phoneticPr fontId="1" type="noConversion"/>
  </si>
  <si>
    <t>新北市政府城鄉發展局2</t>
    <phoneticPr fontId="1" type="noConversion"/>
  </si>
  <si>
    <t>貌似，已認列</t>
    <phoneticPr fontId="1" type="noConversion"/>
  </si>
  <si>
    <t xml:space="preserve">MK74403608	</t>
    <phoneticPr fontId="1" type="noConversion"/>
  </si>
  <si>
    <t>住宅發展科</t>
    <phoneticPr fontId="1" type="noConversion"/>
  </si>
  <si>
    <t>黃佩玟</t>
    <phoneticPr fontId="1" type="noConversion"/>
  </si>
  <si>
    <t>新北市政府城鄉發展局3</t>
    <phoneticPr fontId="1" type="noConversion"/>
  </si>
  <si>
    <t>跨世代共居、老屋換居</t>
    <phoneticPr fontId="1" type="noConversion"/>
  </si>
  <si>
    <t>衛生福利部社會及家庭署1</t>
    <phoneticPr fontId="1" type="noConversion"/>
  </si>
  <si>
    <t>MK74403611</t>
    <phoneticPr fontId="1" type="noConversion"/>
  </si>
  <si>
    <t>楊雅雯</t>
    <phoneticPr fontId="1" type="noConversion"/>
  </si>
  <si>
    <t>衛生福利部社會及家庭署2</t>
    <phoneticPr fontId="1" type="noConversion"/>
  </si>
  <si>
    <t>MK74403610</t>
    <phoneticPr fontId="1" type="noConversion"/>
  </si>
  <si>
    <t>楊子葳</t>
    <phoneticPr fontId="1" type="noConversion"/>
  </si>
  <si>
    <t>全家便利商店股份有限公司</t>
    <phoneticPr fontId="1" type="noConversion"/>
  </si>
  <si>
    <t>MK74403612</t>
    <phoneticPr fontId="1" type="noConversion"/>
  </si>
  <si>
    <t>廖珮妤</t>
    <phoneticPr fontId="1" type="noConversion"/>
  </si>
  <si>
    <t>群創光電股份有限公司</t>
    <phoneticPr fontId="1" type="noConversion"/>
  </si>
  <si>
    <t>MK74403614</t>
    <phoneticPr fontId="1" type="noConversion"/>
  </si>
  <si>
    <t>王琪雯</t>
    <phoneticPr fontId="1" type="noConversion"/>
  </si>
  <si>
    <t>高雄市政府毒品防制局</t>
    <phoneticPr fontId="1" type="noConversion"/>
  </si>
  <si>
    <t>MK74403615</t>
    <phoneticPr fontId="1" type="noConversion"/>
  </si>
  <si>
    <t>承辦人王大昕</t>
    <phoneticPr fontId="1" type="noConversion"/>
  </si>
  <si>
    <t>陳姿華</t>
    <phoneticPr fontId="1" type="noConversion"/>
  </si>
  <si>
    <t>臺中市政府環境保護局1</t>
    <phoneticPr fontId="1" type="noConversion"/>
  </si>
  <si>
    <t>MK74403636</t>
    <phoneticPr fontId="1" type="noConversion"/>
  </si>
  <si>
    <t>廚餘</t>
    <phoneticPr fontId="1" type="noConversion"/>
  </si>
  <si>
    <t>周芳禛</t>
    <phoneticPr fontId="1" type="noConversion"/>
  </si>
  <si>
    <t>臺中市政府環境保護局2</t>
    <phoneticPr fontId="1" type="noConversion"/>
  </si>
  <si>
    <t xml:space="preserve">	MK74403642</t>
    <phoneticPr fontId="1" type="noConversion"/>
  </si>
  <si>
    <t>機車</t>
    <phoneticPr fontId="1" type="noConversion"/>
  </si>
  <si>
    <t>郭子彥</t>
    <phoneticPr fontId="1" type="noConversion"/>
  </si>
  <si>
    <t>04-22289111#66223</t>
    <phoneticPr fontId="1" type="noConversion"/>
  </si>
  <si>
    <t>上浩工程顧問有限公司</t>
    <phoneticPr fontId="1" type="noConversion"/>
  </si>
  <si>
    <t>MK74403637</t>
    <phoneticPr fontId="1" type="noConversion"/>
  </si>
  <si>
    <t>中市環保局(巡守隊)</t>
    <phoneticPr fontId="1" type="noConversion"/>
  </si>
  <si>
    <t>廖桑榆</t>
    <phoneticPr fontId="1" type="noConversion"/>
  </si>
  <si>
    <t xml:space="preserve">	台灣彩券股份有限公司</t>
    <phoneticPr fontId="1" type="noConversion"/>
  </si>
  <si>
    <t xml:space="preserve">	MK74403623</t>
    <phoneticPr fontId="1" type="noConversion"/>
  </si>
  <si>
    <t>陳琦蓁</t>
    <phoneticPr fontId="1" type="noConversion"/>
  </si>
  <si>
    <t>伊雲谷數位科技股份有限公司</t>
    <phoneticPr fontId="1" type="noConversion"/>
  </si>
  <si>
    <t>MK74403624</t>
    <phoneticPr fontId="1" type="noConversion"/>
  </si>
  <si>
    <t>林軒</t>
    <phoneticPr fontId="1" type="noConversion"/>
  </si>
  <si>
    <t>南華大學</t>
    <phoneticPr fontId="1" type="noConversion"/>
  </si>
  <si>
    <t>MK74403649</t>
    <phoneticPr fontId="1" type="noConversion"/>
  </si>
  <si>
    <t>蔡嘉真</t>
    <phoneticPr fontId="1" type="noConversion"/>
  </si>
  <si>
    <t>聯發國際餐飲事業股份有限公司</t>
    <phoneticPr fontId="1" type="noConversion"/>
  </si>
  <si>
    <t>MK74403625</t>
    <phoneticPr fontId="1" type="noConversion"/>
  </si>
  <si>
    <t>侯升偉</t>
    <phoneticPr fontId="1" type="noConversion"/>
  </si>
  <si>
    <t>太平洋綠能股份有限公司</t>
    <phoneticPr fontId="1" type="noConversion"/>
  </si>
  <si>
    <t>MK74403638</t>
    <phoneticPr fontId="1" type="noConversion"/>
  </si>
  <si>
    <t>林湘</t>
    <phoneticPr fontId="1" type="noConversion"/>
  </si>
  <si>
    <t>國泰世華商業銀行股份有限公司</t>
    <phoneticPr fontId="1" type="noConversion"/>
  </si>
  <si>
    <t>缺影片(如獲獎在提供)</t>
    <phoneticPr fontId="1" type="noConversion"/>
  </si>
  <si>
    <t xml:space="preserve">	MK74403647</t>
    <phoneticPr fontId="1" type="noConversion"/>
  </si>
  <si>
    <t>林珮禎</t>
    <phoneticPr fontId="1" type="noConversion"/>
  </si>
  <si>
    <t>中華紙漿股份有限公司</t>
  </si>
  <si>
    <t xml:space="preserve">	MK74403648</t>
    <phoneticPr fontId="1" type="noConversion"/>
  </si>
  <si>
    <t>沈昀靚</t>
    <phoneticPr fontId="1" type="noConversion"/>
  </si>
  <si>
    <t>統一超商股份有限公司</t>
    <phoneticPr fontId="1" type="noConversion"/>
  </si>
  <si>
    <t>MK74403650</t>
  </si>
  <si>
    <t>劉淑薇</t>
    <phoneticPr fontId="1" type="noConversion"/>
  </si>
  <si>
    <t>長榮國際股份有限公司</t>
    <phoneticPr fontId="1" type="noConversion"/>
  </si>
  <si>
    <t>預計4/17</t>
    <phoneticPr fontId="1" type="noConversion"/>
  </si>
  <si>
    <t>MK74403651</t>
    <phoneticPr fontId="1" type="noConversion"/>
  </si>
  <si>
    <t>陳佳穎</t>
    <phoneticPr fontId="1" type="noConversion"/>
  </si>
  <si>
    <t>遠東新世紀股份有限公司</t>
  </si>
  <si>
    <t>MK74403652</t>
    <phoneticPr fontId="1" type="noConversion"/>
  </si>
  <si>
    <t>何欣</t>
    <phoneticPr fontId="1" type="noConversion"/>
  </si>
  <si>
    <t>臺北榮民總醫院</t>
    <phoneticPr fontId="1" type="noConversion"/>
  </si>
  <si>
    <t>MK74403673</t>
    <phoneticPr fontId="1" type="noConversion"/>
  </si>
  <si>
    <t>楊婉伶</t>
    <phoneticPr fontId="1" type="noConversion"/>
  </si>
  <si>
    <t>沈瑞晶</t>
  </si>
  <si>
    <t>02-28757113</t>
    <phoneticPr fontId="1" type="noConversion"/>
  </si>
  <si>
    <t>0988-738805</t>
    <phoneticPr fontId="1" type="noConversion"/>
  </si>
  <si>
    <t xml:space="preserve">	jcshen@vghtpe.gov.tw</t>
    <phoneticPr fontId="1" type="noConversion"/>
  </si>
  <si>
    <t>新北市政府水利局</t>
    <phoneticPr fontId="1" type="noConversion"/>
  </si>
  <si>
    <t xml:space="preserve">	MK74403653</t>
    <phoneticPr fontId="1" type="noConversion"/>
  </si>
  <si>
    <t>劉睿洲</t>
    <phoneticPr fontId="1" type="noConversion"/>
  </si>
  <si>
    <t>台塑生醫科技股份有限公司</t>
    <phoneticPr fontId="1" type="noConversion"/>
  </si>
  <si>
    <t>MK74403654</t>
    <phoneticPr fontId="1" type="noConversion"/>
  </si>
  <si>
    <t>陳俊傑</t>
    <phoneticPr fontId="1" type="noConversion"/>
  </si>
  <si>
    <t xml:space="preserve">	台灣水泥股份有限公司1</t>
    <phoneticPr fontId="1" type="noConversion"/>
  </si>
  <si>
    <t>MK74403670</t>
    <phoneticPr fontId="1" type="noConversion"/>
  </si>
  <si>
    <t>陳心怡</t>
    <phoneticPr fontId="1" type="noConversion"/>
  </si>
  <si>
    <t xml:space="preserve">	台灣水泥股份有限公司2</t>
    <phoneticPr fontId="1" type="noConversion"/>
  </si>
  <si>
    <t>台灣中油股份有限公司2</t>
    <phoneticPr fontId="1" type="noConversion"/>
  </si>
  <si>
    <t>MK74403669</t>
    <phoneticPr fontId="1" type="noConversion"/>
  </si>
  <si>
    <t>劉冠廷</t>
  </si>
  <si>
    <t xml:space="preserve">	02-87258269</t>
    <phoneticPr fontId="1" type="noConversion"/>
  </si>
  <si>
    <t>原住民族委員會1</t>
    <phoneticPr fontId="1" type="noConversion"/>
  </si>
  <si>
    <t>MK74403635</t>
    <phoneticPr fontId="1" type="noConversion"/>
  </si>
  <si>
    <t>高菱遠</t>
    <phoneticPr fontId="1" type="noConversion"/>
  </si>
  <si>
    <t>02-89953356</t>
    <phoneticPr fontId="1" type="noConversion"/>
  </si>
  <si>
    <t>原住民族委員會2</t>
    <phoneticPr fontId="1" type="noConversion"/>
  </si>
  <si>
    <t>104資訊科技股份有限公司1</t>
    <phoneticPr fontId="1" type="noConversion"/>
  </si>
  <si>
    <t>MK74403748</t>
    <phoneticPr fontId="1" type="noConversion"/>
  </si>
  <si>
    <t>雪芃廣告</t>
    <phoneticPr fontId="1" type="noConversion"/>
  </si>
  <si>
    <t>葉佳惠</t>
    <phoneticPr fontId="1" type="noConversion"/>
  </si>
  <si>
    <t>104資訊科技股份有限公司2</t>
    <phoneticPr fontId="1" type="noConversion"/>
  </si>
  <si>
    <t>需確認報名件數</t>
    <phoneticPr fontId="1" type="noConversion"/>
  </si>
  <si>
    <t xml:space="preserve"> </t>
  </si>
  <si>
    <t>2017</t>
  </si>
  <si>
    <t>2018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</si>
  <si>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</si>
  <si>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</si>
  <si>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</si>
  <si>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</si>
  <si>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</si>
  <si>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</si>
  <si>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</si>
  <si>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</si>
  <si>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</si>
  <si>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</si>
  <si>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</si>
  <si>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</si>
  <si>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  <phoneticPr fontId="1" type="noConversion"/>
  </si>
  <si>
    <t>Week14</t>
  </si>
  <si>
    <t>Week15</t>
  </si>
  <si>
    <t>當屆日期</t>
    <phoneticPr fontId="1" type="noConversion"/>
  </si>
  <si>
    <t>活動天數</t>
    <phoneticPr fontId="1" type="noConversion"/>
  </si>
  <si>
    <t>第四屆人次</t>
    <phoneticPr fontId="1" type="noConversion"/>
  </si>
  <si>
    <t>第五屆人次</t>
    <phoneticPr fontId="1" type="noConversion"/>
  </si>
  <si>
    <t>第六屆人次</t>
    <phoneticPr fontId="1" type="noConversion"/>
  </si>
  <si>
    <t>第七屆人次</t>
    <phoneticPr fontId="1" type="noConversion"/>
  </si>
  <si>
    <t>第四屆票數</t>
    <phoneticPr fontId="1" type="noConversion"/>
  </si>
  <si>
    <t>第五屆票數</t>
    <phoneticPr fontId="1" type="noConversion"/>
  </si>
  <si>
    <t>第六屆票數</t>
    <phoneticPr fontId="1" type="noConversion"/>
  </si>
  <si>
    <t>第七屆票數</t>
    <phoneticPr fontId="1" type="noConversion"/>
  </si>
  <si>
    <t>年度</t>
    <phoneticPr fontId="1" type="noConversion"/>
  </si>
  <si>
    <t>公司名稱</t>
    <phoneticPr fontId="1" type="noConversion"/>
  </si>
  <si>
    <t>性質</t>
    <phoneticPr fontId="1" type="noConversion"/>
  </si>
  <si>
    <t>no.</t>
    <phoneticPr fontId="1" type="noConversion"/>
  </si>
  <si>
    <t>不重複：</t>
    <phoneticPr fontId="1" type="noConversion"/>
  </si>
  <si>
    <t>過往六屆</t>
    <phoneticPr fontId="1" type="noConversion"/>
  </si>
  <si>
    <t>今年</t>
    <phoneticPr fontId="1" type="noConversion"/>
  </si>
  <si>
    <t>新光人壽保險股份有限公司</t>
  </si>
  <si>
    <t>企業</t>
    <phoneticPr fontId="1" type="noConversion"/>
  </si>
  <si>
    <t>過往報名</t>
    <phoneticPr fontId="1" type="noConversion"/>
  </si>
  <si>
    <t>曾報名</t>
    <phoneticPr fontId="1" type="noConversion"/>
  </si>
  <si>
    <t>新報名</t>
    <phoneticPr fontId="1" type="noConversion"/>
  </si>
  <si>
    <t>總計</t>
    <phoneticPr fontId="1" type="noConversion"/>
  </si>
  <si>
    <t>中華航空股份有限公司</t>
  </si>
  <si>
    <t>公司</t>
    <phoneticPr fontId="1" type="noConversion"/>
  </si>
  <si>
    <t>17(25)</t>
  </si>
  <si>
    <t>26(35)</t>
  </si>
  <si>
    <t>43(60)</t>
  </si>
  <si>
    <t>台北101</t>
  </si>
  <si>
    <t>大學</t>
    <phoneticPr fontId="1" type="noConversion"/>
  </si>
  <si>
    <t>1(2)</t>
  </si>
  <si>
    <t>5(7)</t>
  </si>
  <si>
    <t>6(9)</t>
  </si>
  <si>
    <t>國泰金融控股股份有限公司</t>
  </si>
  <si>
    <t>醫院</t>
    <phoneticPr fontId="1" type="noConversion"/>
  </si>
  <si>
    <t>1(1)</t>
  </si>
  <si>
    <t>長榮航空股份有限公司</t>
    <phoneticPr fontId="1" type="noConversion"/>
  </si>
  <si>
    <t>政府</t>
    <phoneticPr fontId="1" type="noConversion"/>
  </si>
  <si>
    <t>13(21)</t>
  </si>
  <si>
    <t>台新金融控股股份有限公司</t>
    <phoneticPr fontId="1" type="noConversion"/>
  </si>
  <si>
    <t>國際</t>
    <phoneticPr fontId="1" type="noConversion"/>
  </si>
  <si>
    <t>宏碁股份有限公司</t>
  </si>
  <si>
    <t>18(27)</t>
  </si>
  <si>
    <t>45(64)</t>
  </si>
  <si>
    <t>63(91)</t>
  </si>
  <si>
    <t>富邦金融控股股份有限公司</t>
  </si>
  <si>
    <r>
      <rPr>
        <sz val="12"/>
        <color theme="1"/>
        <rFont val="微軟正黑體"/>
        <family val="2"/>
        <charset val="136"/>
      </rPr>
      <t>台灣新光保全股份有限公司</t>
    </r>
  </si>
  <si>
    <r>
      <rPr>
        <sz val="12"/>
        <color theme="1"/>
        <rFont val="微軟正黑體"/>
        <family val="2"/>
        <charset val="136"/>
      </rPr>
      <t>遠傳電信股份有限公司</t>
    </r>
  </si>
  <si>
    <r>
      <rPr>
        <sz val="12"/>
        <color theme="1"/>
        <rFont val="微軟正黑體"/>
        <family val="2"/>
        <charset val="136"/>
      </rPr>
      <t>台北金融大樓股份有限公司</t>
    </r>
  </si>
  <si>
    <r>
      <rPr>
        <sz val="12"/>
        <color theme="1"/>
        <rFont val="微軟正黑體"/>
        <family val="2"/>
        <charset val="136"/>
      </rPr>
      <t>全球人壽保險股份有限公司</t>
    </r>
  </si>
  <si>
    <r>
      <rPr>
        <sz val="12"/>
        <color theme="1"/>
        <rFont val="微軟正黑體"/>
        <family val="2"/>
        <charset val="136"/>
      </rPr>
      <t>台灣肥料股份有限公司</t>
    </r>
  </si>
  <si>
    <t>華碩電腦股份有限公司</t>
    <phoneticPr fontId="1" type="noConversion"/>
  </si>
  <si>
    <r>
      <rPr>
        <sz val="12"/>
        <color theme="1"/>
        <rFont val="微軟正黑體"/>
        <family val="2"/>
        <charset val="136"/>
      </rPr>
      <t>科技部南部科學工業園區管理局</t>
    </r>
  </si>
  <si>
    <r>
      <rPr>
        <sz val="12"/>
        <color theme="1"/>
        <rFont val="微軟正黑體"/>
        <family val="2"/>
        <charset val="136"/>
      </rPr>
      <t>信義房屋仲介股份有限公司</t>
    </r>
  </si>
  <si>
    <r>
      <rPr>
        <sz val="12"/>
        <color theme="1"/>
        <rFont val="微軟正黑體"/>
        <family val="2"/>
        <charset val="136"/>
      </rPr>
      <t>台灣電力股份有限公司</t>
    </r>
  </si>
  <si>
    <r>
      <rPr>
        <sz val="12"/>
        <color theme="1"/>
        <rFont val="微軟正黑體"/>
        <family val="2"/>
        <charset val="136"/>
      </rPr>
      <t>中國信託金融控股股份有限公司</t>
    </r>
  </si>
  <si>
    <t>財團法人富邦慈善基金會</t>
    <phoneticPr fontId="1" type="noConversion"/>
  </si>
  <si>
    <r>
      <rPr>
        <sz val="12"/>
        <color theme="1"/>
        <rFont val="微軟正黑體"/>
        <family val="2"/>
        <charset val="136"/>
      </rPr>
      <t>國泰金融控股股份有限公司</t>
    </r>
  </si>
  <si>
    <t>王道商業銀行股份有限公司</t>
    <phoneticPr fontId="1" type="noConversion"/>
  </si>
  <si>
    <t>大聯大投資控股股份有限公司</t>
    <phoneticPr fontId="1" type="noConversion"/>
  </si>
  <si>
    <t>友達光電股份有限公司</t>
  </si>
  <si>
    <t>台中商業銀行股份有限公司</t>
    <phoneticPr fontId="1" type="noConversion"/>
  </si>
  <si>
    <t>中國人壽保險股份有限公司</t>
    <phoneticPr fontId="1" type="noConversion"/>
  </si>
  <si>
    <t>臺灣水泥股份有限公司</t>
  </si>
  <si>
    <t>台灣人壽保險股份有限公司</t>
    <phoneticPr fontId="1" type="noConversion"/>
  </si>
  <si>
    <t>台新國際商業銀行股份有限公司</t>
  </si>
  <si>
    <t>全球人壽保險股份有限公司</t>
  </si>
  <si>
    <t>太平洋崇光百貨股份有限公司</t>
  </si>
  <si>
    <t>中國信託商業銀行股份有限公司</t>
  </si>
  <si>
    <t>東元電機股份有限公司</t>
  </si>
  <si>
    <t>台灣福興工業股份有限公司</t>
  </si>
  <si>
    <t>財團法人中鋼集團教育基金會</t>
  </si>
  <si>
    <t>台灣中油股份有限公司</t>
  </si>
  <si>
    <t>正隆股份有限公司</t>
  </si>
  <si>
    <t>遠傳電信股份有限公司</t>
    <phoneticPr fontId="1" type="noConversion"/>
  </si>
  <si>
    <t>長庚醫療財團法人</t>
  </si>
  <si>
    <t>財團法人宏碁基金會</t>
  </si>
  <si>
    <t>臺灣新光商業銀行股份有限公司</t>
  </si>
  <si>
    <t>南亞塑膠工業股份有限公司</t>
  </si>
  <si>
    <t>財團法人中國信託商業銀行文教基金會</t>
    <phoneticPr fontId="1" type="noConversion"/>
  </si>
  <si>
    <t>聯傑國際股份有限公司</t>
  </si>
  <si>
    <t>星展銀行(台灣)</t>
  </si>
  <si>
    <t>渣打國際商業銀行</t>
  </si>
  <si>
    <t>財團法人統一超商好鄰居文教基金會</t>
  </si>
  <si>
    <t>東和鋼鐵企業股份有限公司</t>
  </si>
  <si>
    <t>抱抱國際有限公司</t>
  </si>
  <si>
    <t>高雄市立小港醫院(委託財團法人私立高雄醫學大學經營)</t>
  </si>
  <si>
    <t>昇恆昌股份有限公司</t>
  </si>
  <si>
    <t>中華電信股份有限公司</t>
  </si>
  <si>
    <t>華新麗華股份有限公司</t>
    <phoneticPr fontId="4" type="noConversion"/>
  </si>
  <si>
    <t>統一綜合證券股份有限公司</t>
    <phoneticPr fontId="4" type="noConversion"/>
  </si>
  <si>
    <t>台中商業銀行股份有限公司</t>
  </si>
  <si>
    <t>台灣汽電共生股份有限公司</t>
  </si>
  <si>
    <t>國際中橡投資控股股份有限公司</t>
    <phoneticPr fontId="4" type="noConversion"/>
  </si>
  <si>
    <t>文藻外語大學</t>
    <phoneticPr fontId="4" type="noConversion"/>
  </si>
  <si>
    <t>統一超商股份有限公司</t>
    <phoneticPr fontId="4" type="noConversion"/>
  </si>
  <si>
    <t>旺宏教育基金會</t>
    <phoneticPr fontId="4" type="noConversion"/>
  </si>
  <si>
    <t>永豐金融控股股份有限公司</t>
    <phoneticPr fontId="4" type="noConversion"/>
  </si>
  <si>
    <t>耕莘健康管理專科學校</t>
    <phoneticPr fontId="4" type="noConversion"/>
  </si>
  <si>
    <t>中國信託金融控股股份有限公司</t>
  </si>
  <si>
    <t xml:space="preserve">	元晶太陽能科技股份有限公司</t>
    <phoneticPr fontId="4" type="noConversion"/>
  </si>
  <si>
    <t>光隆實業股份有限公司</t>
    <phoneticPr fontId="4" type="noConversion"/>
  </si>
  <si>
    <t xml:space="preserve">	中鼎集團</t>
    <phoneticPr fontId="4" type="noConversion"/>
  </si>
  <si>
    <t xml:space="preserve">	友信醫療集團</t>
    <phoneticPr fontId="4" type="noConversion"/>
  </si>
  <si>
    <t>台北富邦商業銀行股份有限公司</t>
    <phoneticPr fontId="4" type="noConversion"/>
  </si>
  <si>
    <t>高雄醫學大學附設中和紀念醫院</t>
    <phoneticPr fontId="4" type="noConversion"/>
  </si>
  <si>
    <t>遊戲橘子數位股份有限公司</t>
  </si>
  <si>
    <t>致伸科技股份有限公司</t>
    <phoneticPr fontId="4" type="noConversion"/>
  </si>
  <si>
    <t>家福股份有限公司</t>
    <phoneticPr fontId="4" type="noConversion"/>
  </si>
  <si>
    <t>永續旅遊聯盟</t>
    <phoneticPr fontId="4" type="noConversion"/>
  </si>
  <si>
    <t>精誠資訊股份有限公司</t>
    <phoneticPr fontId="4" type="noConversion"/>
  </si>
  <si>
    <t>台灣高速鐵路股份有限公司</t>
    <phoneticPr fontId="4" type="noConversion"/>
  </si>
  <si>
    <t>國立成功大學</t>
  </si>
  <si>
    <t>財團法人統一超商好鄰居文教基金會</t>
    <phoneticPr fontId="4" type="noConversion"/>
  </si>
  <si>
    <r>
      <rPr>
        <sz val="12"/>
        <color rgb="FF000000"/>
        <rFont val="微軟正黑體"/>
        <family val="2"/>
        <charset val="136"/>
      </rPr>
      <t>衛生福利部雙和醫院</t>
    </r>
    <r>
      <rPr>
        <sz val="12"/>
        <color rgb="FF000000"/>
        <rFont val="Calibri"/>
        <family val="2"/>
      </rPr>
      <t>(</t>
    </r>
    <r>
      <rPr>
        <sz val="12"/>
        <color rgb="FF000000"/>
        <rFont val="微軟正黑體"/>
        <family val="2"/>
        <charset val="136"/>
      </rPr>
      <t>委託臺北醫學大學興建經營</t>
    </r>
    <r>
      <rPr>
        <sz val="12"/>
        <color rgb="FF000000"/>
        <rFont val="Calibri"/>
        <family val="2"/>
      </rPr>
      <t>)</t>
    </r>
    <phoneticPr fontId="13" type="noConversion"/>
  </si>
  <si>
    <t>正隆股份有限公司</t>
    <phoneticPr fontId="4" type="noConversion"/>
  </si>
  <si>
    <t>東吳大學心理學系</t>
    <phoneticPr fontId="13" type="noConversion"/>
  </si>
  <si>
    <t>臺灣土地銀行企劃部</t>
    <phoneticPr fontId="13" type="noConversion"/>
  </si>
  <si>
    <t>全球人壽保險股份有限公司</t>
    <phoneticPr fontId="4" type="noConversion"/>
  </si>
  <si>
    <t>宏亞食品股份有限公司</t>
    <phoneticPr fontId="13" type="noConversion"/>
  </si>
  <si>
    <t>新光合成纖維股份有限公司</t>
    <phoneticPr fontId="1" type="noConversion"/>
  </si>
  <si>
    <t>富邦產物保險股份有限公司</t>
  </si>
  <si>
    <t>渣打國際商業銀行</t>
    <phoneticPr fontId="4" type="noConversion"/>
  </si>
  <si>
    <t>遠雄人壽保險事業股份有限公司</t>
  </si>
  <si>
    <t>衛生福利部桃園醫院</t>
  </si>
  <si>
    <t>玉山商業銀行股份有限公司</t>
  </si>
  <si>
    <t>台灣福興工業股份有限公司</t>
    <phoneticPr fontId="4" type="noConversion"/>
  </si>
  <si>
    <t>中國醫藥大學北港附設醫院</t>
  </si>
  <si>
    <t>金元福包裝企業股份有限公司</t>
  </si>
  <si>
    <t>星展銀行(台灣)</t>
    <phoneticPr fontId="4" type="noConversion"/>
  </si>
  <si>
    <t>中鼎工程股份有限公司</t>
  </si>
  <si>
    <t>臺灣水泥股份有限公司</t>
    <phoneticPr fontId="4" type="noConversion"/>
  </si>
  <si>
    <t xml:space="preserve">台北富邦銀行公益慈善基金會 </t>
  </si>
  <si>
    <t>台灣中油股份有限公司</t>
    <phoneticPr fontId="4" type="noConversion"/>
  </si>
  <si>
    <t>誠製映画有限公司</t>
  </si>
  <si>
    <t>國泰人壽</t>
  </si>
  <si>
    <t>台灣化學纖維</t>
  </si>
  <si>
    <t xml:space="preserve">國立臺灣大學原住民族研究中心 </t>
  </si>
  <si>
    <t>第一銀行</t>
  </si>
  <si>
    <t>財團法人富邦慈善基金會</t>
    <phoneticPr fontId="4" type="noConversion"/>
  </si>
  <si>
    <t>南亞科技股份有限公司</t>
  </si>
  <si>
    <t>中華電信股份有限公司</t>
    <phoneticPr fontId="4" type="noConversion"/>
  </si>
  <si>
    <t>海洋保育署</t>
  </si>
  <si>
    <t>台灣電力股份有限公司</t>
    <phoneticPr fontId="4" type="noConversion"/>
  </si>
  <si>
    <t>裕融企業股份有限公司</t>
  </si>
  <si>
    <t>中國信託商業銀行股份有限公司</t>
    <phoneticPr fontId="4" type="noConversion"/>
  </si>
  <si>
    <t>衛生福利部國民健康署</t>
  </si>
  <si>
    <t>臺灣新光商業銀行股份有限公司</t>
    <phoneticPr fontId="4" type="noConversion"/>
  </si>
  <si>
    <t>富邦慈善基金會</t>
  </si>
  <si>
    <t>銓興營造有限公司</t>
  </si>
  <si>
    <t>財團法人國際合作發展基金會</t>
  </si>
  <si>
    <t>永豐商業銀行股份有限公司</t>
    <phoneticPr fontId="1" type="noConversion"/>
  </si>
  <si>
    <t>財團法人中國信託商業銀行文教基金會</t>
    <phoneticPr fontId="4" type="noConversion"/>
  </si>
  <si>
    <t>6th</t>
    <phoneticPr fontId="1" type="noConversion"/>
  </si>
  <si>
    <t>財團法人明志科技大學</t>
  </si>
  <si>
    <t>大葉大學</t>
    <phoneticPr fontId="1" type="noConversion"/>
  </si>
  <si>
    <t>文化部文化資產局</t>
    <phoneticPr fontId="1" type="noConversion"/>
  </si>
  <si>
    <t>萬海航運股份有限公司</t>
  </si>
  <si>
    <t>振宇五金股份有限公司</t>
  </si>
  <si>
    <t xml:space="preserve">	新北市政府資訊中心</t>
  </si>
  <si>
    <t>高雄醫學大學附設中和紀念醫院/企劃室</t>
  </si>
  <si>
    <t>新北市政府城鄉發展局</t>
    <phoneticPr fontId="1" type="noConversion"/>
  </si>
  <si>
    <t>信義房屋股份有限公司</t>
  </si>
  <si>
    <t>衛生福利部社會及家庭署</t>
    <phoneticPr fontId="1" type="noConversion"/>
  </si>
  <si>
    <t>中國人壽保險股份有限公司</t>
  </si>
  <si>
    <t>群創光電股份有限公司</t>
  </si>
  <si>
    <t>家福</t>
    <phoneticPr fontId="1" type="noConversion"/>
  </si>
  <si>
    <t>高雄市政府毒品防制局</t>
  </si>
  <si>
    <t>台灣水泥</t>
  </si>
  <si>
    <t>臺中市政府環境保護局</t>
  </si>
  <si>
    <t xml:space="preserve">	台灣彩券股份有限公司</t>
  </si>
  <si>
    <t>伊雲谷數位科技股份有限公司</t>
  </si>
  <si>
    <t>台灣人壽保險股份有限公司</t>
  </si>
  <si>
    <t>南華大學</t>
  </si>
  <si>
    <t>上浩工程顧問有限公司</t>
  </si>
  <si>
    <t>太平洋綠能股份有限公司</t>
  </si>
  <si>
    <t>國泰世華商業銀行股份有限公司</t>
  </si>
  <si>
    <t>長榮國際股份有限公司</t>
  </si>
  <si>
    <t>台北富邦銀行品牌定位中心</t>
  </si>
  <si>
    <t>臺北榮民總醫院</t>
  </si>
  <si>
    <t>公共事務部</t>
  </si>
  <si>
    <t>新北市政府水利局</t>
  </si>
  <si>
    <t>台塑生醫科技股份有限公司</t>
  </si>
  <si>
    <t>公眾服務處</t>
  </si>
  <si>
    <t>原住民族委員會</t>
    <phoneticPr fontId="1" type="noConversion"/>
  </si>
  <si>
    <t>統一超商公共事務部</t>
  </si>
  <si>
    <t>104資訊科技股份有限公司</t>
    <phoneticPr fontId="1" type="noConversion"/>
  </si>
  <si>
    <t>星展銀行（台灣）集團推廣策略暨傳訊處</t>
  </si>
  <si>
    <t>遠東sogo</t>
  </si>
  <si>
    <t>全球人壽</t>
  </si>
  <si>
    <t>王道商業銀行股份有限公司</t>
  </si>
  <si>
    <t>統一超商股份有限公司</t>
  </si>
  <si>
    <t>台灣新光保全股份有限公司</t>
  </si>
  <si>
    <t>7th</t>
    <phoneticPr fontId="1" type="noConversion"/>
  </si>
  <si>
    <t>財團法人統一超商好鄰居文教基金會</t>
    <phoneticPr fontId="1" type="noConversion"/>
  </si>
  <si>
    <t>超耐綠科技有限公司</t>
  </si>
  <si>
    <t>和泰汽車股份有限公司</t>
  </si>
  <si>
    <t>台北富邦商業銀行股份有限公司</t>
  </si>
  <si>
    <t>新增人數</t>
    <phoneticPr fontId="1" type="noConversion"/>
  </si>
  <si>
    <t>報名人數</t>
    <phoneticPr fontId="1" type="noConversion"/>
  </si>
  <si>
    <t>8</t>
    <phoneticPr fontId="1" type="noConversion"/>
  </si>
  <si>
    <t>3</t>
    <phoneticPr fontId="1" type="noConversion"/>
  </si>
  <si>
    <t>1</t>
    <phoneticPr fontId="1" type="noConversion"/>
  </si>
  <si>
    <t>0</t>
    <phoneticPr fontId="1" type="noConversion"/>
  </si>
  <si>
    <t>12</t>
  </si>
  <si>
    <t>2</t>
    <phoneticPr fontId="1" type="noConversion"/>
  </si>
  <si>
    <t>2020人數</t>
    <phoneticPr fontId="1" type="noConversion"/>
  </si>
  <si>
    <t>2021人數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</si>
</sst>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.00_);[Red]\(0.00\)"/>
  </numFmts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20"/>
      <color theme="1"/>
      <name val="Adobe 繁黑體 Std B"/>
      <family val="2"/>
      <charset val="136"/>
    </font>
    <font>
      <sz val="20"/>
      <color theme="1"/>
      <name val="微軟正黑體 Light"/>
      <family val="2"/>
      <charset val="136"/>
    </font>
    <font>
      <sz val="20"/>
      <color theme="1"/>
      <name val="微軟正黑體"/>
      <family val="2"/>
      <charset val="136"/>
    </font>
    <font>
      <sz val="12"/>
      <color rgb="FF000000"/>
      <name val="Calibri"/>
      <family val="2"/>
    </font>
    <font>
      <sz val="12"/>
      <color rgb="FF000000"/>
      <name val="Calibri"/>
      <family val="2"/>
      <charset val="136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20"/>
      <color rgb="FFFF0000"/>
      <name val="微軟正黑體"/>
      <family val="2"/>
      <charset val="136"/>
    </font>
    <font>
      <sz val="2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trike/>
      <sz val="20"/>
      <name val="微軟正黑體"/>
      <family val="2"/>
      <charset val="136"/>
    </font>
    <font>
      <strike/>
      <sz val="14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3" fillId="0" borderId="0" xfId="1">
      <alignment vertical="center"/>
    </xf>
    <xf numFmtId="176" fontId="3" fillId="0" borderId="0" xfId="1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6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0" fillId="5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0" fillId="6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0" fillId="7" borderId="0" xfId="0" applyFill="1">
      <alignment vertical="center"/>
    </xf>
    <xf numFmtId="0" fontId="10" fillId="7" borderId="0" xfId="0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  <xf numFmtId="0" fontId="9" fillId="4" borderId="0" xfId="0" applyFont="1" applyFill="1">
      <alignment vertical="center"/>
    </xf>
    <xf numFmtId="0" fontId="15" fillId="0" borderId="0" xfId="0" applyFont="1">
      <alignment vertical="center"/>
    </xf>
    <xf numFmtId="0" fontId="16" fillId="3" borderId="0" xfId="0" applyFont="1" applyFill="1">
      <alignment vertical="center"/>
    </xf>
    <xf numFmtId="0" fontId="17" fillId="0" borderId="0" xfId="2" applyFo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10" borderId="0" xfId="0" applyFont="1" applyFill="1" applyAlignment="1">
      <alignment horizontal="center" vertical="center"/>
    </xf>
    <xf numFmtId="0" fontId="21" fillId="10" borderId="0" xfId="0" applyFont="1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0" xfId="3" applyFont="1">
      <alignment vertical="center"/>
    </xf>
    <xf numFmtId="9" fontId="0" fillId="0" borderId="0" xfId="0" applyNumberFormat="1">
      <alignment vertical="center"/>
    </xf>
  </cellXfs>
  <cellStyles count="4">
    <cellStyle name="一般" xfId="0" builtinId="0"/>
    <cellStyle name="一般 2" xfId="1" xr:uid="{9FB13A67-FB78-492A-A36C-DB0217316FDB}"/>
    <cellStyle name="百分比" xfId="3" builtinId="5"/>
    <cellStyle name="超連結" xfId="2" builtinId="8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800" b="1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2023 7th </a:t>
            </a:r>
            <a:r>
              <a:rPr lang="zh-TW" altLang="en-US" sz="2800" b="1">
                <a:solidFill>
                  <a:srgbClr val="00B05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台北金鵰微電影展</a:t>
            </a:r>
          </a:p>
        </c:rich>
      </c:tx>
      <c:layout>
        <c:manualLayout>
          <c:xMode val="edge"/>
          <c:yMode val="edge"/>
          <c:x val="0.27330462755253104"/>
          <c:y val="2.33100190316210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8872967207426864E-2"/>
          <c:y val="0.11285554891332178"/>
          <c:w val="0.94365441952570661"/>
          <c:h val="0.70233472783533812"/>
        </c:manualLayout>
      </c:layout>
      <c:lineChart>
        <c:grouping val="standard"/>
        <c:varyColors val="0"/>
        <c:ser>
          <c:idx val="0"/>
          <c:order val="0"/>
          <c:tx>
            <c:strRef>
              <c:f>徵件趨勢!$C$1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徵件趨勢!$A$6:$A$96</c:f>
              <c:numCache>
                <c:formatCode>General</c:formatCode>
                <c:ptCount val="91"/>
                <c:pt idx="0">
                  <c:v>90</c:v>
                </c:pt>
                <c:pt idx="1">
                  <c:v>89</c:v>
                </c:pt>
                <c:pt idx="2">
                  <c:v>88</c:v>
                </c:pt>
                <c:pt idx="3">
                  <c:v>87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82</c:v>
                </c:pt>
                <c:pt idx="9">
                  <c:v>81</c:v>
                </c:pt>
                <c:pt idx="10">
                  <c:v>80</c:v>
                </c:pt>
                <c:pt idx="11">
                  <c:v>79</c:v>
                </c:pt>
                <c:pt idx="12">
                  <c:v>78</c:v>
                </c:pt>
                <c:pt idx="13">
                  <c:v>77</c:v>
                </c:pt>
                <c:pt idx="14">
                  <c:v>76</c:v>
                </c:pt>
                <c:pt idx="15">
                  <c:v>75</c:v>
                </c:pt>
                <c:pt idx="16">
                  <c:v>74</c:v>
                </c:pt>
                <c:pt idx="17">
                  <c:v>73</c:v>
                </c:pt>
                <c:pt idx="18">
                  <c:v>72</c:v>
                </c:pt>
                <c:pt idx="19">
                  <c:v>71</c:v>
                </c:pt>
                <c:pt idx="20">
                  <c:v>70</c:v>
                </c:pt>
                <c:pt idx="21">
                  <c:v>69</c:v>
                </c:pt>
                <c:pt idx="22">
                  <c:v>68</c:v>
                </c:pt>
                <c:pt idx="23">
                  <c:v>67</c:v>
                </c:pt>
                <c:pt idx="24">
                  <c:v>66</c:v>
                </c:pt>
                <c:pt idx="25">
                  <c:v>65</c:v>
                </c:pt>
                <c:pt idx="26">
                  <c:v>64</c:v>
                </c:pt>
                <c:pt idx="27">
                  <c:v>63</c:v>
                </c:pt>
                <c:pt idx="28">
                  <c:v>62</c:v>
                </c:pt>
                <c:pt idx="29">
                  <c:v>61</c:v>
                </c:pt>
                <c:pt idx="30">
                  <c:v>60</c:v>
                </c:pt>
                <c:pt idx="31">
                  <c:v>59</c:v>
                </c:pt>
                <c:pt idx="32">
                  <c:v>58</c:v>
                </c:pt>
                <c:pt idx="33">
                  <c:v>57</c:v>
                </c:pt>
                <c:pt idx="34">
                  <c:v>56</c:v>
                </c:pt>
                <c:pt idx="35">
                  <c:v>55</c:v>
                </c:pt>
                <c:pt idx="36">
                  <c:v>54</c:v>
                </c:pt>
                <c:pt idx="37">
                  <c:v>53</c:v>
                </c:pt>
                <c:pt idx="38">
                  <c:v>52</c:v>
                </c:pt>
                <c:pt idx="39">
                  <c:v>51</c:v>
                </c:pt>
                <c:pt idx="40">
                  <c:v>50</c:v>
                </c:pt>
                <c:pt idx="41">
                  <c:v>49</c:v>
                </c:pt>
                <c:pt idx="42">
                  <c:v>48</c:v>
                </c:pt>
                <c:pt idx="43">
                  <c:v>47</c:v>
                </c:pt>
                <c:pt idx="44">
                  <c:v>46</c:v>
                </c:pt>
                <c:pt idx="45">
                  <c:v>45</c:v>
                </c:pt>
                <c:pt idx="46">
                  <c:v>44</c:v>
                </c:pt>
                <c:pt idx="47">
                  <c:v>43</c:v>
                </c:pt>
                <c:pt idx="48">
                  <c:v>42</c:v>
                </c:pt>
                <c:pt idx="49">
                  <c:v>41</c:v>
                </c:pt>
                <c:pt idx="50">
                  <c:v>40</c:v>
                </c:pt>
                <c:pt idx="51">
                  <c:v>39</c:v>
                </c:pt>
                <c:pt idx="52">
                  <c:v>38</c:v>
                </c:pt>
                <c:pt idx="53">
                  <c:v>37</c:v>
                </c:pt>
                <c:pt idx="54">
                  <c:v>36</c:v>
                </c:pt>
                <c:pt idx="55">
                  <c:v>35</c:v>
                </c:pt>
                <c:pt idx="56">
                  <c:v>34</c:v>
                </c:pt>
                <c:pt idx="57">
                  <c:v>33</c:v>
                </c:pt>
                <c:pt idx="58">
                  <c:v>32</c:v>
                </c:pt>
                <c:pt idx="59">
                  <c:v>31</c:v>
                </c:pt>
                <c:pt idx="60">
                  <c:v>30</c:v>
                </c:pt>
                <c:pt idx="61">
                  <c:v>29</c:v>
                </c:pt>
                <c:pt idx="62">
                  <c:v>28</c:v>
                </c:pt>
                <c:pt idx="63">
                  <c:v>27</c:v>
                </c:pt>
                <c:pt idx="64">
                  <c:v>26</c:v>
                </c:pt>
                <c:pt idx="65">
                  <c:v>25</c:v>
                </c:pt>
                <c:pt idx="66">
                  <c:v>24</c:v>
                </c:pt>
                <c:pt idx="67">
                  <c:v>23</c:v>
                </c:pt>
                <c:pt idx="68">
                  <c:v>22</c:v>
                </c:pt>
                <c:pt idx="69">
                  <c:v>21</c:v>
                </c:pt>
                <c:pt idx="70">
                  <c:v>20</c:v>
                </c:pt>
                <c:pt idx="71">
                  <c:v>19</c:v>
                </c:pt>
                <c:pt idx="72">
                  <c:v>18</c:v>
                </c:pt>
                <c:pt idx="73">
                  <c:v>17</c:v>
                </c:pt>
                <c:pt idx="74">
                  <c:v>16</c:v>
                </c:pt>
                <c:pt idx="75">
                  <c:v>15</c:v>
                </c:pt>
                <c:pt idx="76">
                  <c:v>14</c:v>
                </c:pt>
                <c:pt idx="77">
                  <c:v>13</c:v>
                </c:pt>
                <c:pt idx="78">
                  <c:v>12</c:v>
                </c:pt>
                <c:pt idx="79">
                  <c:v>11</c:v>
                </c:pt>
                <c:pt idx="80">
                  <c:v>10</c:v>
                </c:pt>
                <c:pt idx="81">
                  <c:v>9</c:v>
                </c:pt>
                <c:pt idx="82">
                  <c:v>8</c:v>
                </c:pt>
                <c:pt idx="83">
                  <c:v>7</c:v>
                </c:pt>
                <c:pt idx="84">
                  <c:v>6</c:v>
                </c:pt>
                <c:pt idx="85">
                  <c:v>5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</c:numCache>
            </c:numRef>
          </c:cat>
          <c:val>
            <c:numRef>
              <c:f>徵件趨勢!$C$6:$C$96</c:f>
              <c:numCache>
                <c:formatCode>General</c:formatCode>
                <c:ptCount val="9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10</c:v>
                </c:pt>
                <c:pt idx="52">
                  <c:v>13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16</c:v>
                </c:pt>
                <c:pt idx="60">
                  <c:v>16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20</c:v>
                </c:pt>
                <c:pt idx="72">
                  <c:v>20</c:v>
                </c:pt>
                <c:pt idx="73">
                  <c:v>21</c:v>
                </c:pt>
                <c:pt idx="74">
                  <c:v>22</c:v>
                </c:pt>
                <c:pt idx="75">
                  <c:v>22</c:v>
                </c:pt>
                <c:pt idx="76">
                  <c:v>23</c:v>
                </c:pt>
                <c:pt idx="77">
                  <c:v>23</c:v>
                </c:pt>
                <c:pt idx="78">
                  <c:v>25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29</c:v>
                </c:pt>
                <c:pt idx="84">
                  <c:v>29</c:v>
                </c:pt>
                <c:pt idx="85">
                  <c:v>30</c:v>
                </c:pt>
                <c:pt idx="86">
                  <c:v>33</c:v>
                </c:pt>
                <c:pt idx="87">
                  <c:v>35</c:v>
                </c:pt>
                <c:pt idx="88">
                  <c:v>39</c:v>
                </c:pt>
                <c:pt idx="89">
                  <c:v>45</c:v>
                </c:pt>
                <c:pt idx="9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2-4DE8-96FE-28F6352E4486}"/>
            </c:ext>
          </c:extLst>
        </c:ser>
        <c:ser>
          <c:idx val="1"/>
          <c:order val="1"/>
          <c:tx>
            <c:strRef>
              <c:f>徵件趨勢!$D$1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徵件趨勢!$A$6:$A$96</c:f>
              <c:numCache>
                <c:formatCode>General</c:formatCode>
                <c:ptCount val="91"/>
                <c:pt idx="0">
                  <c:v>90</c:v>
                </c:pt>
                <c:pt idx="1">
                  <c:v>89</c:v>
                </c:pt>
                <c:pt idx="2">
                  <c:v>88</c:v>
                </c:pt>
                <c:pt idx="3">
                  <c:v>87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82</c:v>
                </c:pt>
                <c:pt idx="9">
                  <c:v>81</c:v>
                </c:pt>
                <c:pt idx="10">
                  <c:v>80</c:v>
                </c:pt>
                <c:pt idx="11">
                  <c:v>79</c:v>
                </c:pt>
                <c:pt idx="12">
                  <c:v>78</c:v>
                </c:pt>
                <c:pt idx="13">
                  <c:v>77</c:v>
                </c:pt>
                <c:pt idx="14">
                  <c:v>76</c:v>
                </c:pt>
                <c:pt idx="15">
                  <c:v>75</c:v>
                </c:pt>
                <c:pt idx="16">
                  <c:v>74</c:v>
                </c:pt>
                <c:pt idx="17">
                  <c:v>73</c:v>
                </c:pt>
                <c:pt idx="18">
                  <c:v>72</c:v>
                </c:pt>
                <c:pt idx="19">
                  <c:v>71</c:v>
                </c:pt>
                <c:pt idx="20">
                  <c:v>70</c:v>
                </c:pt>
                <c:pt idx="21">
                  <c:v>69</c:v>
                </c:pt>
                <c:pt idx="22">
                  <c:v>68</c:v>
                </c:pt>
                <c:pt idx="23">
                  <c:v>67</c:v>
                </c:pt>
                <c:pt idx="24">
                  <c:v>66</c:v>
                </c:pt>
                <c:pt idx="25">
                  <c:v>65</c:v>
                </c:pt>
                <c:pt idx="26">
                  <c:v>64</c:v>
                </c:pt>
                <c:pt idx="27">
                  <c:v>63</c:v>
                </c:pt>
                <c:pt idx="28">
                  <c:v>62</c:v>
                </c:pt>
                <c:pt idx="29">
                  <c:v>61</c:v>
                </c:pt>
                <c:pt idx="30">
                  <c:v>60</c:v>
                </c:pt>
                <c:pt idx="31">
                  <c:v>59</c:v>
                </c:pt>
                <c:pt idx="32">
                  <c:v>58</c:v>
                </c:pt>
                <c:pt idx="33">
                  <c:v>57</c:v>
                </c:pt>
                <c:pt idx="34">
                  <c:v>56</c:v>
                </c:pt>
                <c:pt idx="35">
                  <c:v>55</c:v>
                </c:pt>
                <c:pt idx="36">
                  <c:v>54</c:v>
                </c:pt>
                <c:pt idx="37">
                  <c:v>53</c:v>
                </c:pt>
                <c:pt idx="38">
                  <c:v>52</c:v>
                </c:pt>
                <c:pt idx="39">
                  <c:v>51</c:v>
                </c:pt>
                <c:pt idx="40">
                  <c:v>50</c:v>
                </c:pt>
                <c:pt idx="41">
                  <c:v>49</c:v>
                </c:pt>
                <c:pt idx="42">
                  <c:v>48</c:v>
                </c:pt>
                <c:pt idx="43">
                  <c:v>47</c:v>
                </c:pt>
                <c:pt idx="44">
                  <c:v>46</c:v>
                </c:pt>
                <c:pt idx="45">
                  <c:v>45</c:v>
                </c:pt>
                <c:pt idx="46">
                  <c:v>44</c:v>
                </c:pt>
                <c:pt idx="47">
                  <c:v>43</c:v>
                </c:pt>
                <c:pt idx="48">
                  <c:v>42</c:v>
                </c:pt>
                <c:pt idx="49">
                  <c:v>41</c:v>
                </c:pt>
                <c:pt idx="50">
                  <c:v>40</c:v>
                </c:pt>
                <c:pt idx="51">
                  <c:v>39</c:v>
                </c:pt>
                <c:pt idx="52">
                  <c:v>38</c:v>
                </c:pt>
                <c:pt idx="53">
                  <c:v>37</c:v>
                </c:pt>
                <c:pt idx="54">
                  <c:v>36</c:v>
                </c:pt>
                <c:pt idx="55">
                  <c:v>35</c:v>
                </c:pt>
                <c:pt idx="56">
                  <c:v>34</c:v>
                </c:pt>
                <c:pt idx="57">
                  <c:v>33</c:v>
                </c:pt>
                <c:pt idx="58">
                  <c:v>32</c:v>
                </c:pt>
                <c:pt idx="59">
                  <c:v>31</c:v>
                </c:pt>
                <c:pt idx="60">
                  <c:v>30</c:v>
                </c:pt>
                <c:pt idx="61">
                  <c:v>29</c:v>
                </c:pt>
                <c:pt idx="62">
                  <c:v>28</c:v>
                </c:pt>
                <c:pt idx="63">
                  <c:v>27</c:v>
                </c:pt>
                <c:pt idx="64">
                  <c:v>26</c:v>
                </c:pt>
                <c:pt idx="65">
                  <c:v>25</c:v>
                </c:pt>
                <c:pt idx="66">
                  <c:v>24</c:v>
                </c:pt>
                <c:pt idx="67">
                  <c:v>23</c:v>
                </c:pt>
                <c:pt idx="68">
                  <c:v>22</c:v>
                </c:pt>
                <c:pt idx="69">
                  <c:v>21</c:v>
                </c:pt>
                <c:pt idx="70">
                  <c:v>20</c:v>
                </c:pt>
                <c:pt idx="71">
                  <c:v>19</c:v>
                </c:pt>
                <c:pt idx="72">
                  <c:v>18</c:v>
                </c:pt>
                <c:pt idx="73">
                  <c:v>17</c:v>
                </c:pt>
                <c:pt idx="74">
                  <c:v>16</c:v>
                </c:pt>
                <c:pt idx="75">
                  <c:v>15</c:v>
                </c:pt>
                <c:pt idx="76">
                  <c:v>14</c:v>
                </c:pt>
                <c:pt idx="77">
                  <c:v>13</c:v>
                </c:pt>
                <c:pt idx="78">
                  <c:v>12</c:v>
                </c:pt>
                <c:pt idx="79">
                  <c:v>11</c:v>
                </c:pt>
                <c:pt idx="80">
                  <c:v>10</c:v>
                </c:pt>
                <c:pt idx="81">
                  <c:v>9</c:v>
                </c:pt>
                <c:pt idx="82">
                  <c:v>8</c:v>
                </c:pt>
                <c:pt idx="83">
                  <c:v>7</c:v>
                </c:pt>
                <c:pt idx="84">
                  <c:v>6</c:v>
                </c:pt>
                <c:pt idx="85">
                  <c:v>5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</c:numCache>
            </c:numRef>
          </c:cat>
          <c:val>
            <c:numRef>
              <c:f>徵件趨勢!$D$7:$D$96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9</c:v>
                </c:pt>
                <c:pt idx="47">
                  <c:v>10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14</c:v>
                </c:pt>
                <c:pt idx="61">
                  <c:v>14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21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28</c:v>
                </c:pt>
                <c:pt idx="80">
                  <c:v>28</c:v>
                </c:pt>
                <c:pt idx="81">
                  <c:v>31</c:v>
                </c:pt>
                <c:pt idx="82">
                  <c:v>32</c:v>
                </c:pt>
                <c:pt idx="83">
                  <c:v>36</c:v>
                </c:pt>
                <c:pt idx="84">
                  <c:v>40</c:v>
                </c:pt>
                <c:pt idx="85">
                  <c:v>40</c:v>
                </c:pt>
                <c:pt idx="86">
                  <c:v>44</c:v>
                </c:pt>
                <c:pt idx="87">
                  <c:v>46</c:v>
                </c:pt>
                <c:pt idx="88">
                  <c:v>49</c:v>
                </c:pt>
                <c:pt idx="8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2-4DE8-96FE-28F6352E4486}"/>
            </c:ext>
          </c:extLst>
        </c:ser>
        <c:ser>
          <c:idx val="2"/>
          <c:order val="2"/>
          <c:tx>
            <c:strRef>
              <c:f>徵件趨勢!$E$1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徵件趨勢!$A$6:$A$96</c:f>
              <c:numCache>
                <c:formatCode>General</c:formatCode>
                <c:ptCount val="91"/>
                <c:pt idx="0">
                  <c:v>90</c:v>
                </c:pt>
                <c:pt idx="1">
                  <c:v>89</c:v>
                </c:pt>
                <c:pt idx="2">
                  <c:v>88</c:v>
                </c:pt>
                <c:pt idx="3">
                  <c:v>87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82</c:v>
                </c:pt>
                <c:pt idx="9">
                  <c:v>81</c:v>
                </c:pt>
                <c:pt idx="10">
                  <c:v>80</c:v>
                </c:pt>
                <c:pt idx="11">
                  <c:v>79</c:v>
                </c:pt>
                <c:pt idx="12">
                  <c:v>78</c:v>
                </c:pt>
                <c:pt idx="13">
                  <c:v>77</c:v>
                </c:pt>
                <c:pt idx="14">
                  <c:v>76</c:v>
                </c:pt>
                <c:pt idx="15">
                  <c:v>75</c:v>
                </c:pt>
                <c:pt idx="16">
                  <c:v>74</c:v>
                </c:pt>
                <c:pt idx="17">
                  <c:v>73</c:v>
                </c:pt>
                <c:pt idx="18">
                  <c:v>72</c:v>
                </c:pt>
                <c:pt idx="19">
                  <c:v>71</c:v>
                </c:pt>
                <c:pt idx="20">
                  <c:v>70</c:v>
                </c:pt>
                <c:pt idx="21">
                  <c:v>69</c:v>
                </c:pt>
                <c:pt idx="22">
                  <c:v>68</c:v>
                </c:pt>
                <c:pt idx="23">
                  <c:v>67</c:v>
                </c:pt>
                <c:pt idx="24">
                  <c:v>66</c:v>
                </c:pt>
                <c:pt idx="25">
                  <c:v>65</c:v>
                </c:pt>
                <c:pt idx="26">
                  <c:v>64</c:v>
                </c:pt>
                <c:pt idx="27">
                  <c:v>63</c:v>
                </c:pt>
                <c:pt idx="28">
                  <c:v>62</c:v>
                </c:pt>
                <c:pt idx="29">
                  <c:v>61</c:v>
                </c:pt>
                <c:pt idx="30">
                  <c:v>60</c:v>
                </c:pt>
                <c:pt idx="31">
                  <c:v>59</c:v>
                </c:pt>
                <c:pt idx="32">
                  <c:v>58</c:v>
                </c:pt>
                <c:pt idx="33">
                  <c:v>57</c:v>
                </c:pt>
                <c:pt idx="34">
                  <c:v>56</c:v>
                </c:pt>
                <c:pt idx="35">
                  <c:v>55</c:v>
                </c:pt>
                <c:pt idx="36">
                  <c:v>54</c:v>
                </c:pt>
                <c:pt idx="37">
                  <c:v>53</c:v>
                </c:pt>
                <c:pt idx="38">
                  <c:v>52</c:v>
                </c:pt>
                <c:pt idx="39">
                  <c:v>51</c:v>
                </c:pt>
                <c:pt idx="40">
                  <c:v>50</c:v>
                </c:pt>
                <c:pt idx="41">
                  <c:v>49</c:v>
                </c:pt>
                <c:pt idx="42">
                  <c:v>48</c:v>
                </c:pt>
                <c:pt idx="43">
                  <c:v>47</c:v>
                </c:pt>
                <c:pt idx="44">
                  <c:v>46</c:v>
                </c:pt>
                <c:pt idx="45">
                  <c:v>45</c:v>
                </c:pt>
                <c:pt idx="46">
                  <c:v>44</c:v>
                </c:pt>
                <c:pt idx="47">
                  <c:v>43</c:v>
                </c:pt>
                <c:pt idx="48">
                  <c:v>42</c:v>
                </c:pt>
                <c:pt idx="49">
                  <c:v>41</c:v>
                </c:pt>
                <c:pt idx="50">
                  <c:v>40</c:v>
                </c:pt>
                <c:pt idx="51">
                  <c:v>39</c:v>
                </c:pt>
                <c:pt idx="52">
                  <c:v>38</c:v>
                </c:pt>
                <c:pt idx="53">
                  <c:v>37</c:v>
                </c:pt>
                <c:pt idx="54">
                  <c:v>36</c:v>
                </c:pt>
                <c:pt idx="55">
                  <c:v>35</c:v>
                </c:pt>
                <c:pt idx="56">
                  <c:v>34</c:v>
                </c:pt>
                <c:pt idx="57">
                  <c:v>33</c:v>
                </c:pt>
                <c:pt idx="58">
                  <c:v>32</c:v>
                </c:pt>
                <c:pt idx="59">
                  <c:v>31</c:v>
                </c:pt>
                <c:pt idx="60">
                  <c:v>30</c:v>
                </c:pt>
                <c:pt idx="61">
                  <c:v>29</c:v>
                </c:pt>
                <c:pt idx="62">
                  <c:v>28</c:v>
                </c:pt>
                <c:pt idx="63">
                  <c:v>27</c:v>
                </c:pt>
                <c:pt idx="64">
                  <c:v>26</c:v>
                </c:pt>
                <c:pt idx="65">
                  <c:v>25</c:v>
                </c:pt>
                <c:pt idx="66">
                  <c:v>24</c:v>
                </c:pt>
                <c:pt idx="67">
                  <c:v>23</c:v>
                </c:pt>
                <c:pt idx="68">
                  <c:v>22</c:v>
                </c:pt>
                <c:pt idx="69">
                  <c:v>21</c:v>
                </c:pt>
                <c:pt idx="70">
                  <c:v>20</c:v>
                </c:pt>
                <c:pt idx="71">
                  <c:v>19</c:v>
                </c:pt>
                <c:pt idx="72">
                  <c:v>18</c:v>
                </c:pt>
                <c:pt idx="73">
                  <c:v>17</c:v>
                </c:pt>
                <c:pt idx="74">
                  <c:v>16</c:v>
                </c:pt>
                <c:pt idx="75">
                  <c:v>15</c:v>
                </c:pt>
                <c:pt idx="76">
                  <c:v>14</c:v>
                </c:pt>
                <c:pt idx="77">
                  <c:v>13</c:v>
                </c:pt>
                <c:pt idx="78">
                  <c:v>12</c:v>
                </c:pt>
                <c:pt idx="79">
                  <c:v>11</c:v>
                </c:pt>
                <c:pt idx="80">
                  <c:v>10</c:v>
                </c:pt>
                <c:pt idx="81">
                  <c:v>9</c:v>
                </c:pt>
                <c:pt idx="82">
                  <c:v>8</c:v>
                </c:pt>
                <c:pt idx="83">
                  <c:v>7</c:v>
                </c:pt>
                <c:pt idx="84">
                  <c:v>6</c:v>
                </c:pt>
                <c:pt idx="85">
                  <c:v>5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</c:numCache>
            </c:numRef>
          </c:cat>
          <c:val>
            <c:numRef>
              <c:f>徵件趨勢!$E$6:$E$96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8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11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23</c:v>
                </c:pt>
                <c:pt idx="66">
                  <c:v>27</c:v>
                </c:pt>
                <c:pt idx="67">
                  <c:v>30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38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48</c:v>
                </c:pt>
                <c:pt idx="79">
                  <c:v>51</c:v>
                </c:pt>
                <c:pt idx="80">
                  <c:v>54</c:v>
                </c:pt>
                <c:pt idx="81">
                  <c:v>56</c:v>
                </c:pt>
                <c:pt idx="82">
                  <c:v>68</c:v>
                </c:pt>
                <c:pt idx="83">
                  <c:v>71</c:v>
                </c:pt>
                <c:pt idx="84">
                  <c:v>71</c:v>
                </c:pt>
                <c:pt idx="85">
                  <c:v>74</c:v>
                </c:pt>
                <c:pt idx="86">
                  <c:v>77</c:v>
                </c:pt>
                <c:pt idx="87">
                  <c:v>82</c:v>
                </c:pt>
                <c:pt idx="88">
                  <c:v>83</c:v>
                </c:pt>
                <c:pt idx="89">
                  <c:v>89</c:v>
                </c:pt>
                <c:pt idx="90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2-4DE8-96FE-28F6352E4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827328"/>
        <c:axId val="894828992"/>
      </c:lineChart>
      <c:catAx>
        <c:axId val="89482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 sz="1400">
                    <a:solidFill>
                      <a:srgbClr val="00B05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剩餘天數</a:t>
                </a:r>
              </a:p>
            </c:rich>
          </c:tx>
          <c:layout>
            <c:manualLayout>
              <c:xMode val="edge"/>
              <c:yMode val="edge"/>
              <c:x val="0.45794713519318692"/>
              <c:y val="0.864397176294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rgbClr val="00B05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4828992"/>
        <c:crosses val="autoZero"/>
        <c:auto val="1"/>
        <c:lblAlgn val="ctr"/>
        <c:lblOffset val="100"/>
        <c:noMultiLvlLbl val="0"/>
      </c:catAx>
      <c:valAx>
        <c:axId val="8948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400">
                    <a:solidFill>
                      <a:srgbClr val="00B05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報名件數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48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903941141215622"/>
          <c:y val="0.92725346855836344"/>
          <c:w val="0.30192117717568767"/>
          <c:h val="5.7214181548220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FFC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800" b="1">
                <a:solidFill>
                  <a:srgbClr val="FFC000"/>
                </a:solidFill>
              </a:rPr>
              <a:t>金鵰影展</a:t>
            </a:r>
            <a:r>
              <a:rPr lang="en-US" sz="1800" b="1">
                <a:solidFill>
                  <a:srgbClr val="FFC000"/>
                </a:solidFill>
              </a:rPr>
              <a:t>-</a:t>
            </a:r>
            <a:r>
              <a:rPr lang="zh-TW" sz="1800" b="1">
                <a:solidFill>
                  <a:srgbClr val="FFC000"/>
                </a:solidFill>
              </a:rPr>
              <a:t>永續影音躍升工作坊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FFC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工作坊趨勢!$B$1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工作坊趨勢!$A$2:$A$22</c:f>
              <c:numCache>
                <c:formatCode>m"月"d"日"</c:formatCode>
                <c:ptCount val="21"/>
                <c:pt idx="0">
                  <c:v>44918</c:v>
                </c:pt>
                <c:pt idx="1">
                  <c:v>44919</c:v>
                </c:pt>
                <c:pt idx="2">
                  <c:v>44920</c:v>
                </c:pt>
                <c:pt idx="3">
                  <c:v>44921</c:v>
                </c:pt>
                <c:pt idx="4">
                  <c:v>44922</c:v>
                </c:pt>
                <c:pt idx="5">
                  <c:v>44923</c:v>
                </c:pt>
                <c:pt idx="6">
                  <c:v>44924</c:v>
                </c:pt>
                <c:pt idx="7">
                  <c:v>44925</c:v>
                </c:pt>
                <c:pt idx="8">
                  <c:v>44926</c:v>
                </c:pt>
                <c:pt idx="9">
                  <c:v>44927</c:v>
                </c:pt>
                <c:pt idx="10">
                  <c:v>44928</c:v>
                </c:pt>
                <c:pt idx="11">
                  <c:v>44929</c:v>
                </c:pt>
                <c:pt idx="12">
                  <c:v>44930</c:v>
                </c:pt>
                <c:pt idx="13">
                  <c:v>44931</c:v>
                </c:pt>
                <c:pt idx="14">
                  <c:v>44932</c:v>
                </c:pt>
                <c:pt idx="15">
                  <c:v>44933</c:v>
                </c:pt>
                <c:pt idx="16">
                  <c:v>44934</c:v>
                </c:pt>
                <c:pt idx="17">
                  <c:v>44935</c:v>
                </c:pt>
                <c:pt idx="18">
                  <c:v>44936</c:v>
                </c:pt>
                <c:pt idx="19">
                  <c:v>44937</c:v>
                </c:pt>
                <c:pt idx="20">
                  <c:v>44938</c:v>
                </c:pt>
              </c:numCache>
            </c:numRef>
          </c:cat>
          <c:val>
            <c:numRef>
              <c:f>工作坊趨勢!$B$2:$B$22</c:f>
              <c:numCache>
                <c:formatCode>General</c:formatCode>
                <c:ptCount val="21"/>
                <c:pt idx="0">
                  <c:v>12</c:v>
                </c:pt>
                <c:pt idx="1">
                  <c:v>19</c:v>
                </c:pt>
                <c:pt idx="2">
                  <c:v>22</c:v>
                </c:pt>
                <c:pt idx="3">
                  <c:v>24</c:v>
                </c:pt>
                <c:pt idx="4">
                  <c:v>37</c:v>
                </c:pt>
                <c:pt idx="5">
                  <c:v>69</c:v>
                </c:pt>
                <c:pt idx="6">
                  <c:v>81</c:v>
                </c:pt>
                <c:pt idx="7">
                  <c:v>117</c:v>
                </c:pt>
                <c:pt idx="8">
                  <c:v>123</c:v>
                </c:pt>
                <c:pt idx="9">
                  <c:v>130</c:v>
                </c:pt>
                <c:pt idx="10">
                  <c:v>132</c:v>
                </c:pt>
                <c:pt idx="11">
                  <c:v>141</c:v>
                </c:pt>
                <c:pt idx="12">
                  <c:v>149</c:v>
                </c:pt>
                <c:pt idx="13">
                  <c:v>155</c:v>
                </c:pt>
                <c:pt idx="14">
                  <c:v>156</c:v>
                </c:pt>
                <c:pt idx="15">
                  <c:v>161</c:v>
                </c:pt>
                <c:pt idx="16">
                  <c:v>161</c:v>
                </c:pt>
                <c:pt idx="17">
                  <c:v>164</c:v>
                </c:pt>
                <c:pt idx="18">
                  <c:v>174</c:v>
                </c:pt>
                <c:pt idx="19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3-4D68-BE50-14092A549A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5087711"/>
        <c:axId val="1435076479"/>
      </c:lineChart>
      <c:dateAx>
        <c:axId val="143508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/>
                  <a:t>日期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435076479"/>
        <c:crosses val="autoZero"/>
        <c:auto val="1"/>
        <c:lblOffset val="100"/>
        <c:baseTimeUnit val="days"/>
      </c:dateAx>
      <c:valAx>
        <c:axId val="143507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/>
                  <a:t>報名人數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43508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6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台北金鵰微電影展 報名趨勢圖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'徵件-歷屆每週趨勢'!$C$2</c:f>
              <c:strCache>
                <c:ptCount val="1"/>
                <c:pt idx="0">
                  <c:v>2017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'徵件-歷屆每週趨勢'!$B$3:$B$17</c:f>
              <c:strCache>
                <c:ptCount val="1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</c:strCache>
            </c:strRef>
          </c:cat>
          <c:val>
            <c:numRef>
              <c:f>'徵件-歷屆每週趨勢'!$C$3:$C$17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15</c:v>
                </c:pt>
                <c:pt idx="12">
                  <c:v>16</c:v>
                </c:pt>
                <c:pt idx="1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7-4B0E-9CE8-F620D1352DCE}"/>
            </c:ext>
          </c:extLst>
        </c:ser>
        <c:ser>
          <c:idx val="1"/>
          <c:order val="1"/>
          <c:tx>
            <c:strRef>
              <c:f>'徵件-歷屆每週趨勢'!$D$2</c:f>
              <c:strCache>
                <c:ptCount val="1"/>
                <c:pt idx="0">
                  <c:v>2018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'徵件-歷屆每週趨勢'!$B$3:$B$17</c:f>
              <c:strCache>
                <c:ptCount val="1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</c:strCache>
            </c:strRef>
          </c:cat>
          <c:val>
            <c:numRef>
              <c:f>'徵件-歷屆每週趨勢'!$D$3:$D$17</c:f>
              <c:numCache>
                <c:formatCode>General</c:formatCode>
                <c:ptCount val="15"/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15</c:v>
                </c:pt>
                <c:pt idx="12">
                  <c:v>16</c:v>
                </c:pt>
                <c:pt idx="1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7-4B0E-9CE8-F620D1352DCE}"/>
            </c:ext>
          </c:extLst>
        </c:ser>
        <c:ser>
          <c:idx val="2"/>
          <c:order val="2"/>
          <c:tx>
            <c:strRef>
              <c:f>'徵件-歷屆每週趨勢'!$E$2</c:f>
              <c:strCache>
                <c:ptCount val="1"/>
                <c:pt idx="0">
                  <c:v>2019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'徵件-歷屆每週趨勢'!$B$3:$B$17</c:f>
              <c:strCache>
                <c:ptCount val="1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</c:strCache>
            </c:strRef>
          </c:cat>
          <c:val>
            <c:numRef>
              <c:f>'徵件-歷屆每週趨勢'!$E$3:$E$17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17</c:v>
                </c:pt>
                <c:pt idx="11">
                  <c:v>18</c:v>
                </c:pt>
                <c:pt idx="12">
                  <c:v>23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7-4B0E-9CE8-F620D1352DCE}"/>
            </c:ext>
          </c:extLst>
        </c:ser>
        <c:ser>
          <c:idx val="3"/>
          <c:order val="3"/>
          <c:tx>
            <c:strRef>
              <c:f>'徵件-歷屆每週趨勢'!$F$2</c:f>
              <c:strCache>
                <c:ptCount val="1"/>
                <c:pt idx="0">
                  <c:v>2020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'徵件-歷屆每週趨勢'!$B$3:$B$17</c:f>
              <c:strCache>
                <c:ptCount val="1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</c:strCache>
            </c:strRef>
          </c:cat>
          <c:val>
            <c:numRef>
              <c:f>'徵件-歷屆每週趨勢'!$F$3:$F$17</c:f>
              <c:numCache>
                <c:formatCode>General</c:formatCode>
                <c:ptCount val="15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27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32</c:v>
                </c:pt>
                <c:pt idx="1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C7-4B0E-9CE8-F620D1352DCE}"/>
            </c:ext>
          </c:extLst>
        </c:ser>
        <c:ser>
          <c:idx val="4"/>
          <c:order val="4"/>
          <c:tx>
            <c:strRef>
              <c:f>'徵件-歷屆每週趨勢'!$G$2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'徵件-歷屆每週趨勢'!$B$3:$B$17</c:f>
              <c:strCache>
                <c:ptCount val="1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</c:strCache>
            </c:strRef>
          </c:cat>
          <c:val>
            <c:numRef>
              <c:f>'徵件-歷屆每週趨勢'!$G$3:$G$17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15</c:v>
                </c:pt>
                <c:pt idx="9">
                  <c:v>17</c:v>
                </c:pt>
                <c:pt idx="10">
                  <c:v>17</c:v>
                </c:pt>
                <c:pt idx="11">
                  <c:v>19</c:v>
                </c:pt>
                <c:pt idx="12">
                  <c:v>27</c:v>
                </c:pt>
                <c:pt idx="13">
                  <c:v>45</c:v>
                </c:pt>
                <c:pt idx="14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C7-4B0E-9CE8-F620D1352DCE}"/>
            </c:ext>
          </c:extLst>
        </c:ser>
        <c:ser>
          <c:idx val="5"/>
          <c:order val="5"/>
          <c:tx>
            <c:strRef>
              <c:f>'徵件-歷屆每週趨勢'!$H$2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'徵件-歷屆每週趨勢'!$B$3:$B$17</c:f>
              <c:strCache>
                <c:ptCount val="1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</c:strCache>
            </c:strRef>
          </c:cat>
          <c:val>
            <c:numRef>
              <c:f>'徵件-歷屆每週趨勢'!$H$3:$H$17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20</c:v>
                </c:pt>
                <c:pt idx="11">
                  <c:v>26</c:v>
                </c:pt>
                <c:pt idx="12">
                  <c:v>40</c:v>
                </c:pt>
                <c:pt idx="1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0-4EC7-A5A3-64CE26CA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200752"/>
        <c:axId val="1012159296"/>
      </c:lineChart>
      <c:catAx>
        <c:axId val="10082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2159296"/>
        <c:crosses val="autoZero"/>
        <c:auto val="1"/>
        <c:lblAlgn val="ctr"/>
        <c:lblOffset val="100"/>
        <c:noMultiLvlLbl val="0"/>
      </c:catAx>
      <c:valAx>
        <c:axId val="10121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20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台北金鵰微電影展網路人氣獎 投票人次</a:t>
            </a:r>
            <a:endParaRPr lang="en-US" altLang="zh-TW" b="1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613147634698339"/>
          <c:y val="0.14238321671086343"/>
          <c:w val="0.87493157893452644"/>
          <c:h val="0.65126132571003692"/>
        </c:manualLayout>
      </c:layout>
      <c:lineChart>
        <c:grouping val="standard"/>
        <c:varyColors val="0"/>
        <c:ser>
          <c:idx val="0"/>
          <c:order val="0"/>
          <c:tx>
            <c:strRef>
              <c:f>歷屆網路人氣獎!$D$1</c:f>
              <c:strCache>
                <c:ptCount val="1"/>
                <c:pt idx="0">
                  <c:v>第四屆人次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歷屆網路人氣獎!$D$2:$D$25</c:f>
              <c:numCache>
                <c:formatCode>General</c:formatCode>
                <c:ptCount val="24"/>
                <c:pt idx="0">
                  <c:v>0</c:v>
                </c:pt>
                <c:pt idx="1">
                  <c:v>234</c:v>
                </c:pt>
                <c:pt idx="2">
                  <c:v>1147</c:v>
                </c:pt>
                <c:pt idx="3">
                  <c:v>2719</c:v>
                </c:pt>
                <c:pt idx="4">
                  <c:v>4300</c:v>
                </c:pt>
                <c:pt idx="5">
                  <c:v>5495</c:v>
                </c:pt>
                <c:pt idx="6">
                  <c:v>5802</c:v>
                </c:pt>
                <c:pt idx="7">
                  <c:v>6114</c:v>
                </c:pt>
                <c:pt idx="8">
                  <c:v>6916</c:v>
                </c:pt>
                <c:pt idx="9">
                  <c:v>7608</c:v>
                </c:pt>
                <c:pt idx="10">
                  <c:v>8132</c:v>
                </c:pt>
                <c:pt idx="11">
                  <c:v>8765</c:v>
                </c:pt>
                <c:pt idx="12">
                  <c:v>9216</c:v>
                </c:pt>
                <c:pt idx="13">
                  <c:v>9423</c:v>
                </c:pt>
                <c:pt idx="14">
                  <c:v>9551</c:v>
                </c:pt>
                <c:pt idx="15">
                  <c:v>10032</c:v>
                </c:pt>
                <c:pt idx="16">
                  <c:v>10384</c:v>
                </c:pt>
                <c:pt idx="17">
                  <c:v>11192</c:v>
                </c:pt>
                <c:pt idx="18">
                  <c:v>12198</c:v>
                </c:pt>
                <c:pt idx="19">
                  <c:v>12847</c:v>
                </c:pt>
                <c:pt idx="20">
                  <c:v>13057</c:v>
                </c:pt>
                <c:pt idx="21">
                  <c:v>13267</c:v>
                </c:pt>
                <c:pt idx="22">
                  <c:v>14131</c:v>
                </c:pt>
                <c:pt idx="23">
                  <c:v>15150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B-4ABC-B14A-19E89ABE2F48}"/>
            </c:ext>
          </c:extLst>
        </c:ser>
        <c:ser>
          <c:idx val="1"/>
          <c:order val="1"/>
          <c:tx>
            <c:strRef>
              <c:f>歷屆網路人氣獎!$E$1</c:f>
              <c:strCache>
                <c:ptCount val="1"/>
                <c:pt idx="0">
                  <c:v>第五屆人次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歷屆網路人氣獎!$E$2:$E$25</c:f>
              <c:numCache>
                <c:formatCode>General</c:formatCode>
                <c:ptCount val="24"/>
                <c:pt idx="0">
                  <c:v>0</c:v>
                </c:pt>
                <c:pt idx="1">
                  <c:v>1612</c:v>
                </c:pt>
                <c:pt idx="2">
                  <c:v>4147</c:v>
                </c:pt>
                <c:pt idx="3">
                  <c:v>7203</c:v>
                </c:pt>
                <c:pt idx="4">
                  <c:v>11123</c:v>
                </c:pt>
                <c:pt idx="5">
                  <c:v>13311</c:v>
                </c:pt>
                <c:pt idx="6">
                  <c:v>14185</c:v>
                </c:pt>
                <c:pt idx="7">
                  <c:v>15260</c:v>
                </c:pt>
                <c:pt idx="8">
                  <c:v>17641</c:v>
                </c:pt>
                <c:pt idx="9">
                  <c:v>20432</c:v>
                </c:pt>
                <c:pt idx="10">
                  <c:v>23660</c:v>
                </c:pt>
                <c:pt idx="11">
                  <c:v>26573</c:v>
                </c:pt>
                <c:pt idx="12">
                  <c:v>29146</c:v>
                </c:pt>
                <c:pt idx="13">
                  <c:v>30872</c:v>
                </c:pt>
                <c:pt idx="14">
                  <c:v>33513</c:v>
                </c:pt>
                <c:pt idx="15">
                  <c:v>37748</c:v>
                </c:pt>
                <c:pt idx="16">
                  <c:v>41588</c:v>
                </c:pt>
                <c:pt idx="17">
                  <c:v>47199</c:v>
                </c:pt>
                <c:pt idx="18">
                  <c:v>53016</c:v>
                </c:pt>
                <c:pt idx="19">
                  <c:v>57712</c:v>
                </c:pt>
                <c:pt idx="20">
                  <c:v>61753</c:v>
                </c:pt>
                <c:pt idx="21">
                  <c:v>86950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B-4ABC-B14A-19E89ABE2F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9891327"/>
        <c:axId val="1949881759"/>
      </c:lineChart>
      <c:catAx>
        <c:axId val="194989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天數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9881759"/>
        <c:crosses val="autoZero"/>
        <c:auto val="1"/>
        <c:lblAlgn val="ctr"/>
        <c:lblOffset val="100"/>
        <c:noMultiLvlLbl val="0"/>
      </c:catAx>
      <c:valAx>
        <c:axId val="19498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投票人次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989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台北金鵰微電影展網路人氣獎 投票票數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9.6247594050743651E-2"/>
          <c:y val="0.16768518518518521"/>
          <c:w val="0.86486351706036746"/>
          <c:h val="0.60975284339457569"/>
        </c:manualLayout>
      </c:layout>
      <c:lineChart>
        <c:grouping val="standard"/>
        <c:varyColors val="0"/>
        <c:ser>
          <c:idx val="0"/>
          <c:order val="0"/>
          <c:tx>
            <c:strRef>
              <c:f>歷屆網路人氣獎!$H$1</c:f>
              <c:strCache>
                <c:ptCount val="1"/>
                <c:pt idx="0">
                  <c:v>第四屆票數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歷屆網路人氣獎!$H$2:$H$25</c:f>
              <c:numCache>
                <c:formatCode>General</c:formatCode>
                <c:ptCount val="24"/>
                <c:pt idx="0">
                  <c:v>0</c:v>
                </c:pt>
                <c:pt idx="1">
                  <c:v>452</c:v>
                </c:pt>
                <c:pt idx="2">
                  <c:v>1878</c:v>
                </c:pt>
                <c:pt idx="3">
                  <c:v>4606</c:v>
                </c:pt>
                <c:pt idx="4">
                  <c:v>7119</c:v>
                </c:pt>
                <c:pt idx="5">
                  <c:v>9314</c:v>
                </c:pt>
                <c:pt idx="6">
                  <c:v>9928</c:v>
                </c:pt>
                <c:pt idx="7">
                  <c:v>10465</c:v>
                </c:pt>
                <c:pt idx="8">
                  <c:v>11817</c:v>
                </c:pt>
                <c:pt idx="9">
                  <c:v>12906</c:v>
                </c:pt>
                <c:pt idx="10">
                  <c:v>14002</c:v>
                </c:pt>
                <c:pt idx="11">
                  <c:v>15054</c:v>
                </c:pt>
                <c:pt idx="12">
                  <c:v>15675</c:v>
                </c:pt>
                <c:pt idx="13">
                  <c:v>15983</c:v>
                </c:pt>
                <c:pt idx="14">
                  <c:v>16210</c:v>
                </c:pt>
                <c:pt idx="15">
                  <c:v>16959</c:v>
                </c:pt>
                <c:pt idx="16">
                  <c:v>17454</c:v>
                </c:pt>
                <c:pt idx="17">
                  <c:v>18507</c:v>
                </c:pt>
                <c:pt idx="18">
                  <c:v>19907</c:v>
                </c:pt>
                <c:pt idx="19">
                  <c:v>20818</c:v>
                </c:pt>
                <c:pt idx="20">
                  <c:v>21121</c:v>
                </c:pt>
                <c:pt idx="21">
                  <c:v>21379</c:v>
                </c:pt>
                <c:pt idx="22">
                  <c:v>22528</c:v>
                </c:pt>
                <c:pt idx="23">
                  <c:v>24165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6-47BB-90F1-26A11585FC83}"/>
            </c:ext>
          </c:extLst>
        </c:ser>
        <c:ser>
          <c:idx val="1"/>
          <c:order val="1"/>
          <c:tx>
            <c:strRef>
              <c:f>歷屆網路人氣獎!$I$1</c:f>
              <c:strCache>
                <c:ptCount val="1"/>
                <c:pt idx="0">
                  <c:v>第五屆票數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歷屆網路人氣獎!$I$2:$I$25</c:f>
              <c:numCache>
                <c:formatCode>General</c:formatCode>
                <c:ptCount val="24"/>
                <c:pt idx="0">
                  <c:v>0</c:v>
                </c:pt>
                <c:pt idx="1">
                  <c:v>1612</c:v>
                </c:pt>
                <c:pt idx="2">
                  <c:v>5706</c:v>
                </c:pt>
                <c:pt idx="3">
                  <c:v>10248</c:v>
                </c:pt>
                <c:pt idx="4">
                  <c:v>15633</c:v>
                </c:pt>
                <c:pt idx="5">
                  <c:v>18374</c:v>
                </c:pt>
                <c:pt idx="6">
                  <c:v>19625</c:v>
                </c:pt>
                <c:pt idx="7">
                  <c:v>20984</c:v>
                </c:pt>
                <c:pt idx="8">
                  <c:v>23968</c:v>
                </c:pt>
                <c:pt idx="9">
                  <c:v>27566</c:v>
                </c:pt>
                <c:pt idx="10">
                  <c:v>31753</c:v>
                </c:pt>
                <c:pt idx="11">
                  <c:v>35650</c:v>
                </c:pt>
                <c:pt idx="12">
                  <c:v>38679</c:v>
                </c:pt>
                <c:pt idx="13">
                  <c:v>40853</c:v>
                </c:pt>
                <c:pt idx="14">
                  <c:v>43892</c:v>
                </c:pt>
                <c:pt idx="15">
                  <c:v>49427</c:v>
                </c:pt>
                <c:pt idx="16">
                  <c:v>54872</c:v>
                </c:pt>
                <c:pt idx="17">
                  <c:v>61556</c:v>
                </c:pt>
                <c:pt idx="18">
                  <c:v>68620</c:v>
                </c:pt>
                <c:pt idx="19">
                  <c:v>74243</c:v>
                </c:pt>
                <c:pt idx="20">
                  <c:v>78817</c:v>
                </c:pt>
                <c:pt idx="21">
                  <c:v>106797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6-47BB-90F1-26A11585FC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4123935"/>
        <c:axId val="905484303"/>
      </c:lineChart>
      <c:catAx>
        <c:axId val="704123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天數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5484303"/>
        <c:crosses val="autoZero"/>
        <c:auto val="1"/>
        <c:lblAlgn val="ctr"/>
        <c:lblOffset val="100"/>
        <c:noMultiLvlLbl val="0"/>
      </c:catAx>
      <c:valAx>
        <c:axId val="9054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投票票數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412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800" b="1">
                <a:solidFill>
                  <a:srgbClr val="FFC000"/>
                </a:solidFill>
              </a:rPr>
              <a:t>金鵰影展 永續</a:t>
            </a:r>
            <a:r>
              <a:rPr lang="en-US" sz="1800" b="1">
                <a:solidFill>
                  <a:srgbClr val="FFC000"/>
                </a:solidFill>
              </a:rPr>
              <a:t>X</a:t>
            </a:r>
            <a:r>
              <a:rPr lang="zh-TW" sz="1800" b="1">
                <a:solidFill>
                  <a:srgbClr val="FFC000"/>
                </a:solidFill>
              </a:rPr>
              <a:t>影音跨界座談 報名人數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工作表1!$C$1</c:f>
              <c:strCache>
                <c:ptCount val="1"/>
                <c:pt idx="0">
                  <c:v>報名人數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工作表1!$A$2:$A$27</c:f>
              <c:numCache>
                <c:formatCode>m"月"d"日"</c:formatCode>
                <c:ptCount val="26"/>
                <c:pt idx="0">
                  <c:v>45103</c:v>
                </c:pt>
                <c:pt idx="1">
                  <c:v>45104</c:v>
                </c:pt>
                <c:pt idx="2">
                  <c:v>45105</c:v>
                </c:pt>
                <c:pt idx="3">
                  <c:v>45106</c:v>
                </c:pt>
                <c:pt idx="4">
                  <c:v>45107</c:v>
                </c:pt>
                <c:pt idx="5">
                  <c:v>45108</c:v>
                </c:pt>
                <c:pt idx="6">
                  <c:v>45109</c:v>
                </c:pt>
                <c:pt idx="7">
                  <c:v>45110</c:v>
                </c:pt>
                <c:pt idx="8">
                  <c:v>45111</c:v>
                </c:pt>
                <c:pt idx="9">
                  <c:v>45112</c:v>
                </c:pt>
                <c:pt idx="10">
                  <c:v>45113</c:v>
                </c:pt>
                <c:pt idx="11">
                  <c:v>45114</c:v>
                </c:pt>
                <c:pt idx="12">
                  <c:v>45115</c:v>
                </c:pt>
                <c:pt idx="13">
                  <c:v>45116</c:v>
                </c:pt>
                <c:pt idx="14">
                  <c:v>45117</c:v>
                </c:pt>
                <c:pt idx="15">
                  <c:v>45118</c:v>
                </c:pt>
                <c:pt idx="16">
                  <c:v>45119</c:v>
                </c:pt>
                <c:pt idx="17">
                  <c:v>45120</c:v>
                </c:pt>
                <c:pt idx="18">
                  <c:v>45121</c:v>
                </c:pt>
                <c:pt idx="19">
                  <c:v>45122</c:v>
                </c:pt>
                <c:pt idx="20">
                  <c:v>45123</c:v>
                </c:pt>
                <c:pt idx="21">
                  <c:v>45124</c:v>
                </c:pt>
                <c:pt idx="22">
                  <c:v>45125</c:v>
                </c:pt>
                <c:pt idx="23">
                  <c:v>45126</c:v>
                </c:pt>
                <c:pt idx="24">
                  <c:v>45127</c:v>
                </c:pt>
                <c:pt idx="25">
                  <c:v>45128</c:v>
                </c:pt>
              </c:numCache>
            </c:numRef>
          </c:cat>
          <c:val>
            <c:numRef>
              <c:f>工作表1!$C$2:$C$27</c:f>
              <c:numCache>
                <c:formatCode>General</c:formatCode>
                <c:ptCount val="26"/>
                <c:pt idx="0">
                  <c:v>24</c:v>
                </c:pt>
                <c:pt idx="1">
                  <c:v>29</c:v>
                </c:pt>
                <c:pt idx="2">
                  <c:v>34</c:v>
                </c:pt>
                <c:pt idx="3">
                  <c:v>42</c:v>
                </c:pt>
                <c:pt idx="4">
                  <c:v>45</c:v>
                </c:pt>
                <c:pt idx="5">
                  <c:v>46</c:v>
                </c:pt>
                <c:pt idx="6">
                  <c:v>46</c:v>
                </c:pt>
                <c:pt idx="7">
                  <c:v>47</c:v>
                </c:pt>
                <c:pt idx="8">
                  <c:v>59</c:v>
                </c:pt>
                <c:pt idx="9">
                  <c:v>61</c:v>
                </c:pt>
                <c:pt idx="10">
                  <c:v>63</c:v>
                </c:pt>
                <c:pt idx="11">
                  <c:v>66</c:v>
                </c:pt>
                <c:pt idx="12">
                  <c:v>66</c:v>
                </c:pt>
                <c:pt idx="1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A-4C15-BF98-7F641AA1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135039"/>
        <c:axId val="19751355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工作表1!$D$1</c15:sqref>
                        </c15:formulaRef>
                      </c:ext>
                    </c:extLst>
                    <c:strCache>
                      <c:ptCount val="1"/>
                      <c:pt idx="0">
                        <c:v>剩餘天數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工作表1!$A$2:$A$27</c15:sqref>
                        </c15:formulaRef>
                      </c:ext>
                    </c:extLst>
                    <c:numCache>
                      <c:formatCode>m"月"d"日"</c:formatCode>
                      <c:ptCount val="26"/>
                      <c:pt idx="0">
                        <c:v>45103</c:v>
                      </c:pt>
                      <c:pt idx="1">
                        <c:v>45104</c:v>
                      </c:pt>
                      <c:pt idx="2">
                        <c:v>45105</c:v>
                      </c:pt>
                      <c:pt idx="3">
                        <c:v>45106</c:v>
                      </c:pt>
                      <c:pt idx="4">
                        <c:v>45107</c:v>
                      </c:pt>
                      <c:pt idx="5">
                        <c:v>45108</c:v>
                      </c:pt>
                      <c:pt idx="6">
                        <c:v>45109</c:v>
                      </c:pt>
                      <c:pt idx="7">
                        <c:v>45110</c:v>
                      </c:pt>
                      <c:pt idx="8">
                        <c:v>45111</c:v>
                      </c:pt>
                      <c:pt idx="9">
                        <c:v>45112</c:v>
                      </c:pt>
                      <c:pt idx="10">
                        <c:v>45113</c:v>
                      </c:pt>
                      <c:pt idx="11">
                        <c:v>45114</c:v>
                      </c:pt>
                      <c:pt idx="12">
                        <c:v>45115</c:v>
                      </c:pt>
                      <c:pt idx="13">
                        <c:v>45116</c:v>
                      </c:pt>
                      <c:pt idx="14">
                        <c:v>45117</c:v>
                      </c:pt>
                      <c:pt idx="15">
                        <c:v>45118</c:v>
                      </c:pt>
                      <c:pt idx="16">
                        <c:v>45119</c:v>
                      </c:pt>
                      <c:pt idx="17">
                        <c:v>45120</c:v>
                      </c:pt>
                      <c:pt idx="18">
                        <c:v>45121</c:v>
                      </c:pt>
                      <c:pt idx="19">
                        <c:v>45122</c:v>
                      </c:pt>
                      <c:pt idx="20">
                        <c:v>45123</c:v>
                      </c:pt>
                      <c:pt idx="21">
                        <c:v>45124</c:v>
                      </c:pt>
                      <c:pt idx="22">
                        <c:v>45125</c:v>
                      </c:pt>
                      <c:pt idx="23">
                        <c:v>45126</c:v>
                      </c:pt>
                      <c:pt idx="24">
                        <c:v>45127</c:v>
                      </c:pt>
                      <c:pt idx="25">
                        <c:v>45128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工作表1!$D$2:$D$27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25</c:v>
                      </c:pt>
                      <c:pt idx="1">
                        <c:v>24</c:v>
                      </c:pt>
                      <c:pt idx="2">
                        <c:v>23</c:v>
                      </c:pt>
                      <c:pt idx="3">
                        <c:v>22</c:v>
                      </c:pt>
                      <c:pt idx="4">
                        <c:v>21</c:v>
                      </c:pt>
                      <c:pt idx="5">
                        <c:v>20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17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13</c:v>
                      </c:pt>
                      <c:pt idx="13">
                        <c:v>12</c:v>
                      </c:pt>
                      <c:pt idx="14">
                        <c:v>11</c:v>
                      </c:pt>
                      <c:pt idx="15">
                        <c:v>10</c:v>
                      </c:pt>
                      <c:pt idx="16">
                        <c:v>9</c:v>
                      </c:pt>
                      <c:pt idx="17">
                        <c:v>8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3</c:v>
                      </c:pt>
                      <c:pt idx="23">
                        <c:v>2</c:v>
                      </c:pt>
                      <c:pt idx="24">
                        <c:v>1</c:v>
                      </c:pt>
                      <c:pt idx="2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B4A-4C15-BF98-7F641AA17166}"/>
                  </c:ext>
                </c:extLst>
              </c15:ser>
            </c15:filteredLineSeries>
          </c:ext>
        </c:extLst>
      </c:lineChart>
      <c:dateAx>
        <c:axId val="1975135039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975135519"/>
        <c:crosses val="autoZero"/>
        <c:auto val="1"/>
        <c:lblOffset val="100"/>
        <c:baseTimeUnit val="days"/>
      </c:dateAx>
      <c:valAx>
        <c:axId val="19751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97513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台北金鵰微電影展 頒獎典禮報名人數統計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9409625943996281E-2"/>
          <c:y val="0.12280555555555556"/>
          <c:w val="0.89932248039547202"/>
          <c:h val="0.68807392825896763"/>
        </c:manualLayout>
      </c:layout>
      <c:lineChart>
        <c:grouping val="standard"/>
        <c:varyColors val="0"/>
        <c:ser>
          <c:idx val="0"/>
          <c:order val="0"/>
          <c:tx>
            <c:strRef>
              <c:f>頒獎典禮_每日趨勢!$D$1</c:f>
              <c:strCache>
                <c:ptCount val="1"/>
                <c:pt idx="0">
                  <c:v>2020人數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頒獎典禮_每日趨勢!$C$2:$C$38</c:f>
              <c:numCache>
                <c:formatCode>General</c:formatCode>
                <c:ptCount val="37"/>
                <c:pt idx="0">
                  <c:v>37</c:v>
                </c:pt>
                <c:pt idx="1">
                  <c:v>36</c:v>
                </c:pt>
                <c:pt idx="2">
                  <c:v>35</c:v>
                </c:pt>
                <c:pt idx="3">
                  <c:v>34</c:v>
                </c:pt>
                <c:pt idx="4">
                  <c:v>33</c:v>
                </c:pt>
                <c:pt idx="5">
                  <c:v>32</c:v>
                </c:pt>
                <c:pt idx="6">
                  <c:v>31</c:v>
                </c:pt>
                <c:pt idx="7">
                  <c:v>30</c:v>
                </c:pt>
                <c:pt idx="8">
                  <c:v>29</c:v>
                </c:pt>
                <c:pt idx="9">
                  <c:v>28</c:v>
                </c:pt>
                <c:pt idx="10">
                  <c:v>27</c:v>
                </c:pt>
                <c:pt idx="11">
                  <c:v>26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22</c:v>
                </c:pt>
                <c:pt idx="16">
                  <c:v>21</c:v>
                </c:pt>
                <c:pt idx="17">
                  <c:v>20</c:v>
                </c:pt>
                <c:pt idx="18">
                  <c:v>19</c:v>
                </c:pt>
                <c:pt idx="19">
                  <c:v>18</c:v>
                </c:pt>
                <c:pt idx="20">
                  <c:v>17</c:v>
                </c:pt>
                <c:pt idx="21">
                  <c:v>16</c:v>
                </c:pt>
                <c:pt idx="22">
                  <c:v>15</c:v>
                </c:pt>
                <c:pt idx="23">
                  <c:v>14</c:v>
                </c:pt>
                <c:pt idx="24">
                  <c:v>13</c:v>
                </c:pt>
                <c:pt idx="25">
                  <c:v>12</c:v>
                </c:pt>
                <c:pt idx="26">
                  <c:v>11</c:v>
                </c:pt>
                <c:pt idx="27">
                  <c:v>10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</c:numCache>
            </c:numRef>
          </c:cat>
          <c:val>
            <c:numRef>
              <c:f>頒獎典禮_每日趨勢!$D$2:$D$38</c:f>
              <c:numCache>
                <c:formatCode>General</c:formatCode>
                <c:ptCount val="37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21</c:v>
                </c:pt>
                <c:pt idx="7">
                  <c:v>23</c:v>
                </c:pt>
                <c:pt idx="8">
                  <c:v>23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29</c:v>
                </c:pt>
                <c:pt idx="13">
                  <c:v>30</c:v>
                </c:pt>
                <c:pt idx="14">
                  <c:v>33</c:v>
                </c:pt>
                <c:pt idx="15">
                  <c:v>34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49</c:v>
                </c:pt>
                <c:pt idx="20">
                  <c:v>61</c:v>
                </c:pt>
                <c:pt idx="21">
                  <c:v>92</c:v>
                </c:pt>
                <c:pt idx="22">
                  <c:v>138</c:v>
                </c:pt>
                <c:pt idx="23">
                  <c:v>163</c:v>
                </c:pt>
                <c:pt idx="24">
                  <c:v>163</c:v>
                </c:pt>
                <c:pt idx="25">
                  <c:v>163</c:v>
                </c:pt>
                <c:pt idx="26">
                  <c:v>182</c:v>
                </c:pt>
                <c:pt idx="27">
                  <c:v>199</c:v>
                </c:pt>
                <c:pt idx="28">
                  <c:v>209</c:v>
                </c:pt>
                <c:pt idx="29">
                  <c:v>218</c:v>
                </c:pt>
                <c:pt idx="30">
                  <c:v>226</c:v>
                </c:pt>
                <c:pt idx="31">
                  <c:v>232</c:v>
                </c:pt>
                <c:pt idx="32">
                  <c:v>232</c:v>
                </c:pt>
                <c:pt idx="33">
                  <c:v>241</c:v>
                </c:pt>
                <c:pt idx="34">
                  <c:v>251</c:v>
                </c:pt>
                <c:pt idx="3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8-4083-9D07-12256A3880B4}"/>
            </c:ext>
          </c:extLst>
        </c:ser>
        <c:ser>
          <c:idx val="1"/>
          <c:order val="1"/>
          <c:tx>
            <c:strRef>
              <c:f>頒獎典禮_每日趨勢!$E$1</c:f>
              <c:strCache>
                <c:ptCount val="1"/>
                <c:pt idx="0">
                  <c:v>2021人數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頒獎典禮_每日趨勢!$C$2:$C$38</c:f>
              <c:numCache>
                <c:formatCode>General</c:formatCode>
                <c:ptCount val="37"/>
                <c:pt idx="0">
                  <c:v>37</c:v>
                </c:pt>
                <c:pt idx="1">
                  <c:v>36</c:v>
                </c:pt>
                <c:pt idx="2">
                  <c:v>35</c:v>
                </c:pt>
                <c:pt idx="3">
                  <c:v>34</c:v>
                </c:pt>
                <c:pt idx="4">
                  <c:v>33</c:v>
                </c:pt>
                <c:pt idx="5">
                  <c:v>32</c:v>
                </c:pt>
                <c:pt idx="6">
                  <c:v>31</c:v>
                </c:pt>
                <c:pt idx="7">
                  <c:v>30</c:v>
                </c:pt>
                <c:pt idx="8">
                  <c:v>29</c:v>
                </c:pt>
                <c:pt idx="9">
                  <c:v>28</c:v>
                </c:pt>
                <c:pt idx="10">
                  <c:v>27</c:v>
                </c:pt>
                <c:pt idx="11">
                  <c:v>26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22</c:v>
                </c:pt>
                <c:pt idx="16">
                  <c:v>21</c:v>
                </c:pt>
                <c:pt idx="17">
                  <c:v>20</c:v>
                </c:pt>
                <c:pt idx="18">
                  <c:v>19</c:v>
                </c:pt>
                <c:pt idx="19">
                  <c:v>18</c:v>
                </c:pt>
                <c:pt idx="20">
                  <c:v>17</c:v>
                </c:pt>
                <c:pt idx="21">
                  <c:v>16</c:v>
                </c:pt>
                <c:pt idx="22">
                  <c:v>15</c:v>
                </c:pt>
                <c:pt idx="23">
                  <c:v>14</c:v>
                </c:pt>
                <c:pt idx="24">
                  <c:v>13</c:v>
                </c:pt>
                <c:pt idx="25">
                  <c:v>12</c:v>
                </c:pt>
                <c:pt idx="26">
                  <c:v>11</c:v>
                </c:pt>
                <c:pt idx="27">
                  <c:v>10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</c:numCache>
            </c:numRef>
          </c:cat>
          <c:val>
            <c:numRef>
              <c:f>頒獎典禮_每日趨勢!$E$2:$E$38</c:f>
              <c:numCache>
                <c:formatCode>General</c:formatCode>
                <c:ptCount val="37"/>
                <c:pt idx="0">
                  <c:v>17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31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61</c:v>
                </c:pt>
                <c:pt idx="19">
                  <c:v>89</c:v>
                </c:pt>
                <c:pt idx="20">
                  <c:v>123</c:v>
                </c:pt>
                <c:pt idx="21">
                  <c:v>130</c:v>
                </c:pt>
                <c:pt idx="22">
                  <c:v>139</c:v>
                </c:pt>
                <c:pt idx="23">
                  <c:v>159</c:v>
                </c:pt>
                <c:pt idx="24">
                  <c:v>162</c:v>
                </c:pt>
                <c:pt idx="25">
                  <c:v>165</c:v>
                </c:pt>
                <c:pt idx="26">
                  <c:v>178</c:v>
                </c:pt>
                <c:pt idx="27">
                  <c:v>183</c:v>
                </c:pt>
                <c:pt idx="28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3-4FF5-B434-3D00B77D31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4395536"/>
        <c:axId val="1785581312"/>
      </c:lineChart>
      <c:catAx>
        <c:axId val="189439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剩餘天數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5581312"/>
        <c:crosses val="autoZero"/>
        <c:auto val="1"/>
        <c:lblAlgn val="ctr"/>
        <c:lblOffset val="100"/>
        <c:noMultiLvlLbl val="0"/>
      </c:catAx>
      <c:valAx>
        <c:axId val="1785581312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人數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439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9524</xdr:rowOff>
    </xdr:from>
    <xdr:to>
      <xdr:col>24</xdr:col>
      <xdr:colOff>238126</xdr:colOff>
      <xdr:row>35</xdr:row>
      <xdr:rowOff>85725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3AB9D81-02AB-9881-2BF1-91E38DFA8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200024</xdr:rowOff>
    </xdr:from>
    <xdr:to>
      <xdr:col>19</xdr:col>
      <xdr:colOff>236537</xdr:colOff>
      <xdr:row>24</xdr:row>
      <xdr:rowOff>200025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6CBB757-47D5-9F5F-3958-D9453C1EB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6</xdr:row>
      <xdr:rowOff>0</xdr:rowOff>
    </xdr:from>
    <xdr:to>
      <xdr:col>24</xdr:col>
      <xdr:colOff>319088</xdr:colOff>
      <xdr:row>23</xdr:row>
      <xdr:rowOff>133349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CFC0A4A-806C-4890-812B-BB0776E64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11903</xdr:colOff>
      <xdr:row>0</xdr:row>
      <xdr:rowOff>28575</xdr:rowOff>
    </xdr:from>
    <xdr:to>
      <xdr:col>41</xdr:col>
      <xdr:colOff>323700</xdr:colOff>
      <xdr:row>21</xdr:row>
      <xdr:rowOff>73819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3F826F9-BC91-46FC-A4AB-0871F0162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119061</xdr:colOff>
      <xdr:row>16</xdr:row>
      <xdr:rowOff>121245</xdr:rowOff>
    </xdr:from>
    <xdr:to>
      <xdr:col>41</xdr:col>
      <xdr:colOff>430857</xdr:colOff>
      <xdr:row>44</xdr:row>
      <xdr:rowOff>41275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64E102A-8332-496D-ACDA-A0AFDB1DC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342901</xdr:colOff>
      <xdr:row>4</xdr:row>
      <xdr:rowOff>161925</xdr:rowOff>
    </xdr:from>
    <xdr:to>
      <xdr:col>19</xdr:col>
      <xdr:colOff>400050</xdr:colOff>
      <xdr:row>22</xdr:row>
      <xdr:rowOff>152400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D494C18-9707-19FB-4E39-C72FAC1F4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200025</xdr:rowOff>
    </xdr:from>
    <xdr:to>
      <xdr:col>18</xdr:col>
      <xdr:colOff>247650</xdr:colOff>
      <xdr:row>23</xdr:row>
      <xdr:rowOff>161925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67E41C5-00AE-4BFF-86EA-ABA3D64E9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自訂 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EAADB"/>
      </a:accent1>
      <a:accent2>
        <a:srgbClr val="F4B183"/>
      </a:accent2>
      <a:accent3>
        <a:srgbClr val="C9C9C9"/>
      </a:accent3>
      <a:accent4>
        <a:srgbClr val="FFD965"/>
      </a:accent4>
      <a:accent5>
        <a:srgbClr val="9CC3E5"/>
      </a:accent5>
      <a:accent6>
        <a:srgbClr val="A8D08D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xe5479@ntpc.gov.tw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C583-E6FF-40B2-92AF-AFECBACC6625}">
  <dimension ref="A1:F102"/>
  <sheetViews>
    <sheetView topLeftCell="A3" zoomScaleNormal="100" workbookViewId="0">
      <selection activeCell="F1" sqref="F1"/>
    </sheetView>
  </sheetViews>
  <sheetFormatPr defaultColWidth="9" defaultRowHeight="16.5"/>
  <cols>
    <col min="1" max="1" width="9" style="3"/>
    <col min="2" max="2" width="10.375" style="3" customWidth="1"/>
    <col min="3" max="3" width="9" style="3"/>
    <col min="5" max="16384" width="9" style="3"/>
  </cols>
  <sheetData>
    <row r="1" spans="1:6" ht="15">
      <c r="A1" s="3" t="s">
        <v>0</v>
      </c>
      <c r="B1" s="3" t="s">
        <v>1</v>
      </c>
      <c r="C1" s="3">
        <v>2021</v>
      </c>
      <c r="D1" s="3">
        <v>2022</v>
      </c>
      <c r="E1" s="3">
        <v>2023</v>
      </c>
      <c r="F1" s="3" t="s">
        <v>2</v>
      </c>
    </row>
    <row r="2" spans="1:6">
      <c r="A2" s="3">
        <v>94</v>
      </c>
      <c r="C2" s="3">
        <v>1</v>
      </c>
    </row>
    <row r="3" spans="1:6">
      <c r="A3" s="3">
        <v>93</v>
      </c>
      <c r="C3" s="3">
        <v>2</v>
      </c>
    </row>
    <row r="4" spans="1:6">
      <c r="A4" s="3">
        <v>92</v>
      </c>
      <c r="C4" s="3">
        <v>2</v>
      </c>
    </row>
    <row r="5" spans="1:6">
      <c r="A5" s="3">
        <v>91</v>
      </c>
      <c r="C5" s="3">
        <v>2</v>
      </c>
    </row>
    <row r="6" spans="1:6">
      <c r="A6" s="3">
        <v>90</v>
      </c>
      <c r="C6" s="3">
        <v>2</v>
      </c>
      <c r="D6">
        <v>0</v>
      </c>
      <c r="E6" s="3">
        <v>0</v>
      </c>
    </row>
    <row r="7" spans="1:6">
      <c r="A7" s="3">
        <v>89</v>
      </c>
      <c r="B7" s="4">
        <v>44928</v>
      </c>
      <c r="C7" s="3">
        <v>2</v>
      </c>
      <c r="D7">
        <v>0</v>
      </c>
      <c r="E7" s="3">
        <f>E6+F7</f>
        <v>2</v>
      </c>
      <c r="F7" s="3">
        <v>2</v>
      </c>
    </row>
    <row r="8" spans="1:6" ht="15">
      <c r="A8" s="3">
        <v>88</v>
      </c>
      <c r="B8" s="4">
        <v>44929</v>
      </c>
      <c r="C8" s="3">
        <v>2</v>
      </c>
      <c r="D8" s="3">
        <v>0</v>
      </c>
      <c r="E8" s="3">
        <f t="shared" ref="E8:E14" si="0">E7+F8</f>
        <v>5</v>
      </c>
      <c r="F8" s="3">
        <v>3</v>
      </c>
    </row>
    <row r="9" spans="1:6" ht="15">
      <c r="A9" s="3">
        <v>87</v>
      </c>
      <c r="B9" s="4">
        <v>44930</v>
      </c>
      <c r="C9" s="3">
        <v>2</v>
      </c>
      <c r="D9" s="3">
        <v>0</v>
      </c>
      <c r="E9" s="3">
        <f t="shared" si="0"/>
        <v>5</v>
      </c>
      <c r="F9" s="3">
        <v>0</v>
      </c>
    </row>
    <row r="10" spans="1:6" ht="15">
      <c r="A10" s="3">
        <v>86</v>
      </c>
      <c r="B10" s="4">
        <v>44931</v>
      </c>
      <c r="C10" s="3">
        <v>2</v>
      </c>
      <c r="D10" s="3">
        <v>0</v>
      </c>
      <c r="E10" s="3">
        <f t="shared" si="0"/>
        <v>6</v>
      </c>
      <c r="F10" s="3">
        <v>1</v>
      </c>
    </row>
    <row r="11" spans="1:6" ht="15">
      <c r="A11" s="3">
        <v>85</v>
      </c>
      <c r="B11" s="4">
        <v>44932</v>
      </c>
      <c r="C11" s="3">
        <v>2</v>
      </c>
      <c r="D11" s="3">
        <v>0</v>
      </c>
      <c r="E11" s="3">
        <f t="shared" si="0"/>
        <v>6</v>
      </c>
      <c r="F11" s="3">
        <v>0</v>
      </c>
    </row>
    <row r="12" spans="1:6" ht="15">
      <c r="A12" s="3">
        <v>84</v>
      </c>
      <c r="B12" s="4">
        <v>44933</v>
      </c>
      <c r="C12" s="3">
        <v>2</v>
      </c>
      <c r="D12" s="3">
        <v>0</v>
      </c>
      <c r="E12" s="3">
        <f t="shared" si="0"/>
        <v>6</v>
      </c>
      <c r="F12" s="3">
        <v>0</v>
      </c>
    </row>
    <row r="13" spans="1:6" ht="15">
      <c r="A13" s="3">
        <v>83</v>
      </c>
      <c r="B13" s="4">
        <v>44934</v>
      </c>
      <c r="C13" s="3">
        <v>2</v>
      </c>
      <c r="D13" s="3">
        <v>0</v>
      </c>
      <c r="E13" s="3">
        <f t="shared" si="0"/>
        <v>6</v>
      </c>
      <c r="F13" s="3">
        <v>0</v>
      </c>
    </row>
    <row r="14" spans="1:6" ht="15">
      <c r="A14" s="3">
        <v>82</v>
      </c>
      <c r="B14" s="4">
        <v>44935</v>
      </c>
      <c r="C14" s="3">
        <v>2</v>
      </c>
      <c r="D14" s="3">
        <v>0</v>
      </c>
      <c r="E14" s="3">
        <f t="shared" si="0"/>
        <v>6</v>
      </c>
      <c r="F14" s="3">
        <v>0</v>
      </c>
    </row>
    <row r="15" spans="1:6" ht="15">
      <c r="A15" s="3">
        <v>81</v>
      </c>
      <c r="B15" s="4">
        <v>44936</v>
      </c>
      <c r="C15" s="3">
        <v>2</v>
      </c>
      <c r="D15" s="3">
        <v>0</v>
      </c>
      <c r="E15" s="3">
        <v>6</v>
      </c>
      <c r="F15" s="3">
        <v>0</v>
      </c>
    </row>
    <row r="16" spans="1:6" ht="15">
      <c r="A16" s="3">
        <v>80</v>
      </c>
      <c r="B16" s="4">
        <v>44937</v>
      </c>
      <c r="C16" s="3">
        <v>2</v>
      </c>
      <c r="D16" s="3">
        <v>0</v>
      </c>
      <c r="E16" s="3">
        <v>6</v>
      </c>
      <c r="F16" s="3">
        <v>0</v>
      </c>
    </row>
    <row r="17" spans="1:6" ht="15">
      <c r="A17" s="3">
        <v>79</v>
      </c>
      <c r="B17" s="4">
        <v>44938</v>
      </c>
      <c r="C17" s="3">
        <v>3</v>
      </c>
      <c r="D17" s="3">
        <v>0</v>
      </c>
      <c r="E17" s="3">
        <v>6</v>
      </c>
      <c r="F17" s="3">
        <v>0</v>
      </c>
    </row>
    <row r="18" spans="1:6" ht="15">
      <c r="A18" s="3">
        <v>78</v>
      </c>
      <c r="B18" s="4">
        <v>44939</v>
      </c>
      <c r="C18" s="3">
        <v>3</v>
      </c>
      <c r="D18" s="3">
        <v>1</v>
      </c>
      <c r="E18" s="3">
        <f t="shared" ref="E18:E81" si="1">E17+F18</f>
        <v>6</v>
      </c>
      <c r="F18" s="3">
        <v>0</v>
      </c>
    </row>
    <row r="19" spans="1:6" ht="15">
      <c r="A19" s="3">
        <v>77</v>
      </c>
      <c r="B19" s="4">
        <v>44940</v>
      </c>
      <c r="C19" s="3">
        <v>3</v>
      </c>
      <c r="D19" s="3">
        <v>1</v>
      </c>
      <c r="E19" s="3">
        <f t="shared" si="1"/>
        <v>6</v>
      </c>
      <c r="F19" s="3">
        <v>0</v>
      </c>
    </row>
    <row r="20" spans="1:6" ht="15">
      <c r="A20" s="3">
        <v>76</v>
      </c>
      <c r="B20" s="4">
        <v>44941</v>
      </c>
      <c r="C20" s="3">
        <v>3</v>
      </c>
      <c r="D20" s="3">
        <v>2</v>
      </c>
      <c r="E20" s="3">
        <f t="shared" si="1"/>
        <v>6</v>
      </c>
      <c r="F20" s="3">
        <v>0</v>
      </c>
    </row>
    <row r="21" spans="1:6" ht="15">
      <c r="A21" s="3">
        <v>75</v>
      </c>
      <c r="B21" s="4">
        <v>44942</v>
      </c>
      <c r="C21" s="3">
        <v>3</v>
      </c>
      <c r="D21" s="3">
        <v>2</v>
      </c>
      <c r="E21" s="3">
        <f t="shared" si="1"/>
        <v>6</v>
      </c>
      <c r="F21" s="3">
        <v>0</v>
      </c>
    </row>
    <row r="22" spans="1:6" ht="15">
      <c r="A22" s="3">
        <v>74</v>
      </c>
      <c r="B22" s="4">
        <v>44943</v>
      </c>
      <c r="C22" s="3">
        <v>4</v>
      </c>
      <c r="D22" s="3">
        <v>2</v>
      </c>
      <c r="E22" s="3">
        <f t="shared" si="1"/>
        <v>6</v>
      </c>
      <c r="F22" s="3">
        <v>0</v>
      </c>
    </row>
    <row r="23" spans="1:6" ht="15">
      <c r="A23" s="3">
        <v>73</v>
      </c>
      <c r="B23" s="4">
        <v>44944</v>
      </c>
      <c r="C23" s="3">
        <v>4</v>
      </c>
      <c r="D23" s="3">
        <v>2</v>
      </c>
      <c r="E23" s="3">
        <f t="shared" si="1"/>
        <v>6</v>
      </c>
      <c r="F23" s="3">
        <v>0</v>
      </c>
    </row>
    <row r="24" spans="1:6" ht="15">
      <c r="A24" s="3">
        <v>72</v>
      </c>
      <c r="B24" s="4">
        <v>44945</v>
      </c>
      <c r="C24" s="3">
        <v>4</v>
      </c>
      <c r="D24" s="3">
        <v>2</v>
      </c>
      <c r="E24" s="3">
        <f t="shared" si="1"/>
        <v>6</v>
      </c>
      <c r="F24" s="3">
        <v>0</v>
      </c>
    </row>
    <row r="25" spans="1:6" ht="15">
      <c r="A25" s="3">
        <v>71</v>
      </c>
      <c r="B25" s="4">
        <v>44946</v>
      </c>
      <c r="C25" s="3">
        <v>4</v>
      </c>
      <c r="D25" s="3">
        <v>3</v>
      </c>
      <c r="E25" s="3">
        <v>6</v>
      </c>
      <c r="F25" s="3">
        <v>0</v>
      </c>
    </row>
    <row r="26" spans="1:6" ht="15">
      <c r="A26" s="3">
        <v>70</v>
      </c>
      <c r="B26" s="4">
        <v>44947</v>
      </c>
      <c r="C26" s="3">
        <v>4</v>
      </c>
      <c r="D26" s="3">
        <v>4</v>
      </c>
      <c r="E26" s="3">
        <v>6</v>
      </c>
      <c r="F26" s="3">
        <v>0</v>
      </c>
    </row>
    <row r="27" spans="1:6" ht="15">
      <c r="A27" s="3">
        <v>69</v>
      </c>
      <c r="B27" s="4">
        <v>44948</v>
      </c>
      <c r="C27" s="3">
        <v>4</v>
      </c>
      <c r="D27" s="3">
        <v>4</v>
      </c>
      <c r="E27" s="3">
        <v>6</v>
      </c>
      <c r="F27" s="3">
        <v>0</v>
      </c>
    </row>
    <row r="28" spans="1:6" ht="15">
      <c r="A28" s="3">
        <v>68</v>
      </c>
      <c r="B28" s="4">
        <v>44949</v>
      </c>
      <c r="C28" s="3">
        <v>4</v>
      </c>
      <c r="D28" s="3">
        <v>4</v>
      </c>
      <c r="E28" s="3">
        <f t="shared" si="1"/>
        <v>6</v>
      </c>
      <c r="F28" s="3">
        <v>0</v>
      </c>
    </row>
    <row r="29" spans="1:6" ht="15">
      <c r="A29" s="3">
        <v>67</v>
      </c>
      <c r="B29" s="4">
        <v>44950</v>
      </c>
      <c r="C29" s="3">
        <v>4</v>
      </c>
      <c r="D29" s="3">
        <v>4</v>
      </c>
      <c r="E29" s="3">
        <f t="shared" si="1"/>
        <v>6</v>
      </c>
      <c r="F29" s="3">
        <v>0</v>
      </c>
    </row>
    <row r="30" spans="1:6" ht="15">
      <c r="A30" s="3">
        <v>66</v>
      </c>
      <c r="B30" s="4">
        <v>44951</v>
      </c>
      <c r="C30" s="3">
        <v>7</v>
      </c>
      <c r="D30" s="3">
        <v>4</v>
      </c>
      <c r="E30" s="3">
        <f t="shared" si="1"/>
        <v>6</v>
      </c>
      <c r="F30" s="3">
        <v>0</v>
      </c>
    </row>
    <row r="31" spans="1:6" ht="15">
      <c r="A31" s="3">
        <v>65</v>
      </c>
      <c r="B31" s="4">
        <v>44952</v>
      </c>
      <c r="C31" s="3">
        <v>7</v>
      </c>
      <c r="D31" s="3">
        <v>4</v>
      </c>
      <c r="E31" s="3">
        <f t="shared" si="1"/>
        <v>6</v>
      </c>
      <c r="F31" s="3">
        <v>0</v>
      </c>
    </row>
    <row r="32" spans="1:6" ht="15">
      <c r="A32" s="3">
        <v>64</v>
      </c>
      <c r="B32" s="4">
        <v>44953</v>
      </c>
      <c r="C32" s="3">
        <v>7</v>
      </c>
      <c r="D32" s="3">
        <v>4</v>
      </c>
      <c r="E32" s="3">
        <f t="shared" si="1"/>
        <v>6</v>
      </c>
      <c r="F32" s="3">
        <v>0</v>
      </c>
    </row>
    <row r="33" spans="1:6" ht="15">
      <c r="A33" s="3">
        <v>63</v>
      </c>
      <c r="B33" s="4">
        <v>44954</v>
      </c>
      <c r="C33" s="3">
        <v>8</v>
      </c>
      <c r="D33" s="3">
        <v>4</v>
      </c>
      <c r="E33" s="3">
        <f t="shared" si="1"/>
        <v>6</v>
      </c>
      <c r="F33" s="3">
        <v>0</v>
      </c>
    </row>
    <row r="34" spans="1:6" ht="15">
      <c r="A34" s="3">
        <v>62</v>
      </c>
      <c r="B34" s="4">
        <v>44955</v>
      </c>
      <c r="C34" s="3">
        <v>8</v>
      </c>
      <c r="D34" s="3">
        <v>4</v>
      </c>
      <c r="E34" s="3">
        <f t="shared" si="1"/>
        <v>6</v>
      </c>
      <c r="F34" s="3">
        <v>0</v>
      </c>
    </row>
    <row r="35" spans="1:6" ht="15">
      <c r="A35" s="3">
        <v>61</v>
      </c>
      <c r="B35" s="4">
        <v>44956</v>
      </c>
      <c r="C35" s="3">
        <v>8</v>
      </c>
      <c r="D35" s="3">
        <v>4</v>
      </c>
      <c r="E35" s="3">
        <v>6</v>
      </c>
      <c r="F35" s="3">
        <v>0</v>
      </c>
    </row>
    <row r="36" spans="1:6" ht="15">
      <c r="A36" s="3">
        <v>60</v>
      </c>
      <c r="B36" s="4">
        <v>44957</v>
      </c>
      <c r="C36" s="3">
        <v>8</v>
      </c>
      <c r="D36" s="3">
        <v>4</v>
      </c>
      <c r="E36" s="3">
        <v>6</v>
      </c>
      <c r="F36" s="3">
        <v>0</v>
      </c>
    </row>
    <row r="37" spans="1:6" ht="15">
      <c r="A37" s="3">
        <v>59</v>
      </c>
      <c r="B37" s="4">
        <v>44958</v>
      </c>
      <c r="C37" s="3">
        <v>8</v>
      </c>
      <c r="D37" s="3">
        <v>4</v>
      </c>
      <c r="E37" s="3">
        <v>6</v>
      </c>
      <c r="F37" s="3">
        <v>0</v>
      </c>
    </row>
    <row r="38" spans="1:6" ht="15">
      <c r="A38" s="3">
        <v>58</v>
      </c>
      <c r="B38" s="4">
        <v>44959</v>
      </c>
      <c r="C38" s="3">
        <v>8</v>
      </c>
      <c r="D38" s="3">
        <v>4</v>
      </c>
      <c r="E38" s="3">
        <f t="shared" si="1"/>
        <v>8</v>
      </c>
      <c r="F38" s="3">
        <v>2</v>
      </c>
    </row>
    <row r="39" spans="1:6" ht="15">
      <c r="A39" s="3">
        <v>57</v>
      </c>
      <c r="B39" s="4">
        <v>44960</v>
      </c>
      <c r="C39" s="3">
        <v>8</v>
      </c>
      <c r="D39" s="3">
        <v>4</v>
      </c>
      <c r="E39" s="3">
        <f t="shared" si="1"/>
        <v>9</v>
      </c>
      <c r="F39" s="3">
        <v>1</v>
      </c>
    </row>
    <row r="40" spans="1:6" ht="15">
      <c r="A40" s="3">
        <v>56</v>
      </c>
      <c r="B40" s="4">
        <v>44961</v>
      </c>
      <c r="C40" s="3">
        <v>8</v>
      </c>
      <c r="D40" s="3">
        <v>5</v>
      </c>
      <c r="E40" s="3">
        <f t="shared" si="1"/>
        <v>9</v>
      </c>
      <c r="F40" s="3">
        <v>0</v>
      </c>
    </row>
    <row r="41" spans="1:6" ht="15">
      <c r="A41" s="3">
        <v>55</v>
      </c>
      <c r="B41" s="4">
        <v>44962</v>
      </c>
      <c r="C41" s="3">
        <v>8</v>
      </c>
      <c r="D41" s="3">
        <v>5</v>
      </c>
      <c r="E41" s="3">
        <f t="shared" si="1"/>
        <v>9</v>
      </c>
      <c r="F41" s="3">
        <v>0</v>
      </c>
    </row>
    <row r="42" spans="1:6" ht="15">
      <c r="A42" s="3">
        <v>54</v>
      </c>
      <c r="B42" s="4">
        <v>44963</v>
      </c>
      <c r="C42" s="3">
        <v>8</v>
      </c>
      <c r="D42" s="3">
        <v>5</v>
      </c>
      <c r="E42" s="3">
        <f t="shared" si="1"/>
        <v>9</v>
      </c>
      <c r="F42" s="3">
        <v>0</v>
      </c>
    </row>
    <row r="43" spans="1:6" ht="15">
      <c r="A43" s="3">
        <v>53</v>
      </c>
      <c r="B43" s="4">
        <v>44964</v>
      </c>
      <c r="C43" s="3">
        <v>8</v>
      </c>
      <c r="D43" s="3">
        <v>5</v>
      </c>
      <c r="E43" s="3">
        <f t="shared" si="1"/>
        <v>9</v>
      </c>
      <c r="F43" s="3">
        <v>0</v>
      </c>
    </row>
    <row r="44" spans="1:6" ht="15">
      <c r="A44" s="3">
        <v>52</v>
      </c>
      <c r="B44" s="4">
        <v>44965</v>
      </c>
      <c r="C44" s="3">
        <v>8</v>
      </c>
      <c r="D44" s="3">
        <v>5</v>
      </c>
      <c r="E44" s="3">
        <f t="shared" si="1"/>
        <v>9</v>
      </c>
      <c r="F44" s="3">
        <v>0</v>
      </c>
    </row>
    <row r="45" spans="1:6" ht="15">
      <c r="A45" s="3">
        <v>51</v>
      </c>
      <c r="B45" s="4">
        <v>44966</v>
      </c>
      <c r="C45" s="3">
        <v>8</v>
      </c>
      <c r="D45" s="3">
        <v>5</v>
      </c>
      <c r="E45" s="3">
        <f t="shared" si="1"/>
        <v>9</v>
      </c>
      <c r="F45" s="3">
        <v>0</v>
      </c>
    </row>
    <row r="46" spans="1:6" ht="15">
      <c r="A46" s="3">
        <v>50</v>
      </c>
      <c r="B46" s="4">
        <v>44967</v>
      </c>
      <c r="C46" s="3">
        <v>8</v>
      </c>
      <c r="D46" s="3">
        <v>5</v>
      </c>
      <c r="E46" s="3">
        <f t="shared" si="1"/>
        <v>9</v>
      </c>
      <c r="F46" s="3">
        <v>0</v>
      </c>
    </row>
    <row r="47" spans="1:6" ht="15">
      <c r="A47" s="3">
        <v>49</v>
      </c>
      <c r="B47" s="4">
        <v>44968</v>
      </c>
      <c r="C47" s="3">
        <v>8</v>
      </c>
      <c r="D47" s="3">
        <v>5</v>
      </c>
      <c r="E47" s="3">
        <f t="shared" si="1"/>
        <v>9</v>
      </c>
      <c r="F47" s="3">
        <v>0</v>
      </c>
    </row>
    <row r="48" spans="1:6" ht="15">
      <c r="A48" s="3">
        <v>48</v>
      </c>
      <c r="B48" s="4">
        <v>44969</v>
      </c>
      <c r="C48" s="3">
        <v>8</v>
      </c>
      <c r="D48" s="3">
        <v>5</v>
      </c>
      <c r="E48" s="3">
        <f t="shared" si="1"/>
        <v>9</v>
      </c>
      <c r="F48" s="3">
        <v>0</v>
      </c>
    </row>
    <row r="49" spans="1:6" ht="15">
      <c r="A49" s="3">
        <v>47</v>
      </c>
      <c r="B49" s="4">
        <v>44970</v>
      </c>
      <c r="C49" s="3">
        <v>8</v>
      </c>
      <c r="D49" s="3">
        <v>5</v>
      </c>
      <c r="E49" s="3">
        <f t="shared" si="1"/>
        <v>9</v>
      </c>
      <c r="F49" s="3">
        <v>0</v>
      </c>
    </row>
    <row r="50" spans="1:6" ht="15">
      <c r="A50" s="3">
        <v>46</v>
      </c>
      <c r="B50" s="4">
        <v>44971</v>
      </c>
      <c r="C50" s="3">
        <v>8</v>
      </c>
      <c r="D50" s="3">
        <v>5</v>
      </c>
      <c r="E50" s="3">
        <f t="shared" si="1"/>
        <v>9</v>
      </c>
      <c r="F50" s="3">
        <v>0</v>
      </c>
    </row>
    <row r="51" spans="1:6" ht="15">
      <c r="A51" s="3">
        <v>45</v>
      </c>
      <c r="B51" s="4">
        <v>44972</v>
      </c>
      <c r="C51" s="3">
        <v>8</v>
      </c>
      <c r="D51" s="3">
        <v>6</v>
      </c>
      <c r="E51" s="3">
        <f t="shared" si="1"/>
        <v>11</v>
      </c>
      <c r="F51" s="3">
        <v>2</v>
      </c>
    </row>
    <row r="52" spans="1:6" ht="15">
      <c r="A52" s="3">
        <v>44</v>
      </c>
      <c r="B52" s="4">
        <v>44973</v>
      </c>
      <c r="C52" s="3">
        <v>8</v>
      </c>
      <c r="D52" s="3">
        <v>6</v>
      </c>
      <c r="E52" s="3">
        <f t="shared" si="1"/>
        <v>11</v>
      </c>
      <c r="F52" s="3">
        <v>0</v>
      </c>
    </row>
    <row r="53" spans="1:6" ht="15">
      <c r="A53" s="3">
        <v>43</v>
      </c>
      <c r="B53" s="4">
        <v>44974</v>
      </c>
      <c r="C53" s="3">
        <v>9</v>
      </c>
      <c r="D53" s="3">
        <v>9</v>
      </c>
      <c r="E53" s="3">
        <f t="shared" si="1"/>
        <v>14</v>
      </c>
      <c r="F53" s="3">
        <v>3</v>
      </c>
    </row>
    <row r="54" spans="1:6" ht="15">
      <c r="A54" s="3">
        <v>42</v>
      </c>
      <c r="B54" s="4">
        <v>44975</v>
      </c>
      <c r="C54" s="3">
        <v>9</v>
      </c>
      <c r="D54" s="3">
        <v>10</v>
      </c>
      <c r="E54" s="3">
        <f t="shared" si="1"/>
        <v>14</v>
      </c>
      <c r="F54" s="3">
        <v>0</v>
      </c>
    </row>
    <row r="55" spans="1:6" ht="15">
      <c r="A55" s="3">
        <v>41</v>
      </c>
      <c r="B55" s="4">
        <v>44976</v>
      </c>
      <c r="C55" s="3">
        <v>9</v>
      </c>
      <c r="D55" s="3">
        <v>11</v>
      </c>
      <c r="E55" s="3">
        <f t="shared" si="1"/>
        <v>14</v>
      </c>
      <c r="F55" s="3">
        <v>0</v>
      </c>
    </row>
    <row r="56" spans="1:6" ht="15">
      <c r="A56" s="3">
        <v>40</v>
      </c>
      <c r="B56" s="4">
        <v>44977</v>
      </c>
      <c r="C56" s="3">
        <v>9</v>
      </c>
      <c r="D56" s="3">
        <v>11</v>
      </c>
      <c r="E56" s="3">
        <f t="shared" si="1"/>
        <v>14</v>
      </c>
      <c r="F56" s="3">
        <v>0</v>
      </c>
    </row>
    <row r="57" spans="1:6" ht="15">
      <c r="A57" s="3">
        <v>39</v>
      </c>
      <c r="B57" s="4">
        <v>44978</v>
      </c>
      <c r="C57" s="3">
        <v>10</v>
      </c>
      <c r="D57" s="3">
        <v>11</v>
      </c>
      <c r="E57" s="3">
        <f t="shared" si="1"/>
        <v>14</v>
      </c>
      <c r="F57" s="3">
        <v>0</v>
      </c>
    </row>
    <row r="58" spans="1:6" ht="15">
      <c r="A58" s="3">
        <v>38</v>
      </c>
      <c r="B58" s="4">
        <v>44979</v>
      </c>
      <c r="C58" s="3">
        <v>13</v>
      </c>
      <c r="D58" s="3">
        <v>11</v>
      </c>
      <c r="E58" s="3">
        <f t="shared" si="1"/>
        <v>14</v>
      </c>
      <c r="F58" s="3">
        <v>0</v>
      </c>
    </row>
    <row r="59" spans="1:6" ht="15">
      <c r="A59" s="3">
        <v>37</v>
      </c>
      <c r="B59" s="4">
        <v>44980</v>
      </c>
      <c r="C59" s="3">
        <v>15</v>
      </c>
      <c r="D59" s="3">
        <v>12</v>
      </c>
      <c r="E59" s="3">
        <f t="shared" si="1"/>
        <v>14</v>
      </c>
      <c r="F59" s="3">
        <v>0</v>
      </c>
    </row>
    <row r="60" spans="1:6" ht="15">
      <c r="A60" s="3">
        <v>36</v>
      </c>
      <c r="B60" s="4">
        <v>44981</v>
      </c>
      <c r="C60" s="3">
        <v>15</v>
      </c>
      <c r="D60" s="3">
        <v>12</v>
      </c>
      <c r="E60" s="3">
        <f t="shared" si="1"/>
        <v>16</v>
      </c>
      <c r="F60" s="3">
        <v>2</v>
      </c>
    </row>
    <row r="61" spans="1:6" ht="15">
      <c r="A61" s="3">
        <v>35</v>
      </c>
      <c r="B61" s="4">
        <v>44982</v>
      </c>
      <c r="C61" s="3">
        <v>15</v>
      </c>
      <c r="D61" s="3">
        <v>12</v>
      </c>
      <c r="E61" s="3">
        <f t="shared" si="1"/>
        <v>16</v>
      </c>
      <c r="F61" s="3">
        <v>0</v>
      </c>
    </row>
    <row r="62" spans="1:6" ht="15">
      <c r="A62" s="3">
        <v>34</v>
      </c>
      <c r="B62" s="4">
        <v>44983</v>
      </c>
      <c r="C62" s="3">
        <v>15</v>
      </c>
      <c r="D62" s="3">
        <v>12</v>
      </c>
      <c r="E62" s="3">
        <f t="shared" si="1"/>
        <v>16</v>
      </c>
      <c r="F62" s="3">
        <v>0</v>
      </c>
    </row>
    <row r="63" spans="1:6" ht="15">
      <c r="A63" s="3">
        <v>33</v>
      </c>
      <c r="B63" s="4">
        <v>44984</v>
      </c>
      <c r="C63" s="3">
        <v>15</v>
      </c>
      <c r="D63" s="3">
        <v>12</v>
      </c>
      <c r="E63" s="3">
        <f t="shared" si="1"/>
        <v>16</v>
      </c>
      <c r="F63" s="3">
        <v>0</v>
      </c>
    </row>
    <row r="64" spans="1:6" ht="15">
      <c r="A64" s="3">
        <v>32</v>
      </c>
      <c r="B64" s="4">
        <v>44985</v>
      </c>
      <c r="C64" s="3">
        <v>15</v>
      </c>
      <c r="D64" s="3">
        <v>12</v>
      </c>
      <c r="E64" s="3">
        <f t="shared" si="1"/>
        <v>16</v>
      </c>
      <c r="F64" s="3">
        <v>0</v>
      </c>
    </row>
    <row r="65" spans="1:6" ht="15">
      <c r="A65" s="3">
        <v>31</v>
      </c>
      <c r="B65" s="4">
        <v>44986</v>
      </c>
      <c r="C65" s="3">
        <v>16</v>
      </c>
      <c r="D65" s="3">
        <v>12</v>
      </c>
      <c r="E65" s="3">
        <f t="shared" si="1"/>
        <v>16</v>
      </c>
      <c r="F65" s="3">
        <v>0</v>
      </c>
    </row>
    <row r="66" spans="1:6" ht="15">
      <c r="A66" s="3">
        <v>30</v>
      </c>
      <c r="B66" s="4">
        <v>44987</v>
      </c>
      <c r="C66" s="3">
        <v>16</v>
      </c>
      <c r="D66" s="3">
        <v>12</v>
      </c>
      <c r="E66" s="3">
        <f t="shared" si="1"/>
        <v>19</v>
      </c>
      <c r="F66" s="3">
        <v>3</v>
      </c>
    </row>
    <row r="67" spans="1:6" ht="15">
      <c r="A67" s="3">
        <v>29</v>
      </c>
      <c r="B67" s="4">
        <v>44988</v>
      </c>
      <c r="C67" s="3">
        <v>17</v>
      </c>
      <c r="D67" s="3">
        <v>14</v>
      </c>
      <c r="E67" s="3">
        <f t="shared" si="1"/>
        <v>20</v>
      </c>
      <c r="F67" s="3">
        <v>1</v>
      </c>
    </row>
    <row r="68" spans="1:6" ht="15">
      <c r="A68" s="3">
        <v>28</v>
      </c>
      <c r="B68" s="4">
        <v>44989</v>
      </c>
      <c r="C68" s="3">
        <v>17</v>
      </c>
      <c r="D68" s="3">
        <v>14</v>
      </c>
      <c r="E68" s="3">
        <f t="shared" si="1"/>
        <v>20</v>
      </c>
      <c r="F68" s="3">
        <v>0</v>
      </c>
    </row>
    <row r="69" spans="1:6" ht="15">
      <c r="A69" s="3">
        <v>27</v>
      </c>
      <c r="B69" s="4">
        <v>44990</v>
      </c>
      <c r="C69" s="3">
        <v>17</v>
      </c>
      <c r="D69" s="3">
        <v>15</v>
      </c>
      <c r="E69" s="3">
        <f t="shared" si="1"/>
        <v>20</v>
      </c>
      <c r="F69" s="3">
        <v>0</v>
      </c>
    </row>
    <row r="70" spans="1:6" ht="15">
      <c r="A70" s="3">
        <v>26</v>
      </c>
      <c r="B70" s="4">
        <v>44991</v>
      </c>
      <c r="C70" s="3">
        <v>17</v>
      </c>
      <c r="D70" s="3">
        <v>15</v>
      </c>
      <c r="E70" s="3">
        <f t="shared" si="1"/>
        <v>20</v>
      </c>
      <c r="F70" s="3">
        <v>0</v>
      </c>
    </row>
    <row r="71" spans="1:6" ht="15">
      <c r="A71" s="3">
        <v>25</v>
      </c>
      <c r="B71" s="4">
        <v>44992</v>
      </c>
      <c r="C71" s="3">
        <v>18</v>
      </c>
      <c r="D71" s="3">
        <v>15</v>
      </c>
      <c r="E71" s="3">
        <f t="shared" si="1"/>
        <v>23</v>
      </c>
      <c r="F71" s="3">
        <v>3</v>
      </c>
    </row>
    <row r="72" spans="1:6" ht="15">
      <c r="A72" s="3">
        <v>24</v>
      </c>
      <c r="B72" s="4">
        <v>44993</v>
      </c>
      <c r="C72" s="3">
        <v>18</v>
      </c>
      <c r="D72" s="3">
        <v>16</v>
      </c>
      <c r="E72" s="3">
        <f t="shared" si="1"/>
        <v>27</v>
      </c>
      <c r="F72" s="3">
        <v>4</v>
      </c>
    </row>
    <row r="73" spans="1:6" ht="15">
      <c r="A73" s="3">
        <v>23</v>
      </c>
      <c r="B73" s="4">
        <v>44994</v>
      </c>
      <c r="C73" s="3">
        <v>18</v>
      </c>
      <c r="D73" s="3">
        <v>16</v>
      </c>
      <c r="E73" s="3">
        <f t="shared" si="1"/>
        <v>30</v>
      </c>
      <c r="F73" s="3">
        <v>3</v>
      </c>
    </row>
    <row r="74" spans="1:6" ht="15">
      <c r="A74" s="3">
        <v>22</v>
      </c>
      <c r="B74" s="4">
        <v>44995</v>
      </c>
      <c r="C74" s="3">
        <v>19</v>
      </c>
      <c r="D74" s="3">
        <v>16</v>
      </c>
      <c r="E74" s="3">
        <f t="shared" si="1"/>
        <v>34</v>
      </c>
      <c r="F74" s="3">
        <v>4</v>
      </c>
    </row>
    <row r="75" spans="1:6" ht="15">
      <c r="A75" s="3">
        <v>21</v>
      </c>
      <c r="B75" s="4">
        <v>44996</v>
      </c>
      <c r="C75" s="3">
        <v>19</v>
      </c>
      <c r="D75" s="3">
        <v>16</v>
      </c>
      <c r="E75" s="3">
        <f t="shared" si="1"/>
        <v>34</v>
      </c>
      <c r="F75" s="3">
        <v>0</v>
      </c>
    </row>
    <row r="76" spans="1:6" ht="15">
      <c r="A76" s="3">
        <v>20</v>
      </c>
      <c r="B76" s="4">
        <v>44997</v>
      </c>
      <c r="C76" s="3">
        <v>19</v>
      </c>
      <c r="D76" s="3">
        <v>20</v>
      </c>
      <c r="E76" s="3">
        <f t="shared" si="1"/>
        <v>34</v>
      </c>
      <c r="F76" s="3">
        <v>0</v>
      </c>
    </row>
    <row r="77" spans="1:6" ht="15">
      <c r="A77" s="3">
        <v>19</v>
      </c>
      <c r="B77" s="4">
        <v>44998</v>
      </c>
      <c r="C77" s="3">
        <v>20</v>
      </c>
      <c r="D77" s="3">
        <v>20</v>
      </c>
      <c r="E77" s="3">
        <f t="shared" si="1"/>
        <v>38</v>
      </c>
      <c r="F77" s="3">
        <v>4</v>
      </c>
    </row>
    <row r="78" spans="1:6" ht="15">
      <c r="A78" s="3">
        <v>18</v>
      </c>
      <c r="B78" s="4">
        <v>44999</v>
      </c>
      <c r="C78" s="3">
        <v>20</v>
      </c>
      <c r="D78" s="3">
        <v>20</v>
      </c>
      <c r="E78" s="3">
        <f t="shared" si="1"/>
        <v>41</v>
      </c>
      <c r="F78" s="3">
        <v>3</v>
      </c>
    </row>
    <row r="79" spans="1:6" ht="15">
      <c r="A79" s="3">
        <v>17</v>
      </c>
      <c r="B79" s="4">
        <v>45000</v>
      </c>
      <c r="C79" s="3">
        <v>21</v>
      </c>
      <c r="D79" s="3">
        <v>21</v>
      </c>
      <c r="E79" s="3">
        <f t="shared" si="1"/>
        <v>42</v>
      </c>
      <c r="F79" s="3">
        <v>1</v>
      </c>
    </row>
    <row r="80" spans="1:6" ht="15">
      <c r="A80" s="3">
        <v>16</v>
      </c>
      <c r="B80" s="4">
        <v>45001</v>
      </c>
      <c r="C80" s="3">
        <v>22</v>
      </c>
      <c r="D80" s="3">
        <v>24</v>
      </c>
      <c r="E80" s="3">
        <f t="shared" si="1"/>
        <v>42</v>
      </c>
      <c r="F80" s="3">
        <v>0</v>
      </c>
    </row>
    <row r="81" spans="1:6" ht="15">
      <c r="A81" s="3">
        <v>15</v>
      </c>
      <c r="B81" s="4">
        <v>45002</v>
      </c>
      <c r="C81" s="3">
        <v>22</v>
      </c>
      <c r="D81" s="3">
        <v>24</v>
      </c>
      <c r="E81" s="3">
        <f t="shared" si="1"/>
        <v>44</v>
      </c>
      <c r="F81" s="3">
        <v>2</v>
      </c>
    </row>
    <row r="82" spans="1:6" ht="15">
      <c r="A82" s="3">
        <v>14</v>
      </c>
      <c r="B82" s="4">
        <v>45003</v>
      </c>
      <c r="C82" s="3">
        <v>23</v>
      </c>
      <c r="D82" s="3">
        <v>25</v>
      </c>
      <c r="E82" s="3">
        <f t="shared" ref="E82:E95" si="2">E81+F82</f>
        <v>44</v>
      </c>
      <c r="F82" s="3">
        <v>0</v>
      </c>
    </row>
    <row r="83" spans="1:6" ht="15">
      <c r="A83" s="3">
        <v>13</v>
      </c>
      <c r="B83" s="4">
        <v>45004</v>
      </c>
      <c r="C83" s="3">
        <v>23</v>
      </c>
      <c r="D83" s="3">
        <v>26</v>
      </c>
      <c r="E83" s="3">
        <f t="shared" si="2"/>
        <v>44</v>
      </c>
      <c r="F83" s="3">
        <v>0</v>
      </c>
    </row>
    <row r="84" spans="1:6" ht="15">
      <c r="A84" s="3">
        <v>12</v>
      </c>
      <c r="B84" s="4">
        <v>45005</v>
      </c>
      <c r="C84" s="3">
        <v>25</v>
      </c>
      <c r="D84" s="3">
        <v>26</v>
      </c>
      <c r="E84" s="3">
        <f t="shared" si="2"/>
        <v>48</v>
      </c>
      <c r="F84" s="3">
        <v>4</v>
      </c>
    </row>
    <row r="85" spans="1:6" ht="15">
      <c r="A85" s="3">
        <v>11</v>
      </c>
      <c r="B85" s="4">
        <v>45006</v>
      </c>
      <c r="C85" s="3">
        <v>26</v>
      </c>
      <c r="D85" s="3">
        <v>26</v>
      </c>
      <c r="E85" s="3">
        <f t="shared" si="2"/>
        <v>51</v>
      </c>
      <c r="F85" s="3">
        <v>3</v>
      </c>
    </row>
    <row r="86" spans="1:6" ht="15">
      <c r="A86" s="3">
        <v>10</v>
      </c>
      <c r="B86" s="4">
        <v>45007</v>
      </c>
      <c r="C86" s="3">
        <v>26</v>
      </c>
      <c r="D86" s="3">
        <v>28</v>
      </c>
      <c r="E86" s="3">
        <f t="shared" si="2"/>
        <v>54</v>
      </c>
      <c r="F86" s="3">
        <v>3</v>
      </c>
    </row>
    <row r="87" spans="1:6" ht="15">
      <c r="A87" s="3">
        <v>9</v>
      </c>
      <c r="B87" s="4">
        <v>45008</v>
      </c>
      <c r="C87" s="3">
        <v>27</v>
      </c>
      <c r="D87" s="3">
        <v>28</v>
      </c>
      <c r="E87" s="3">
        <f t="shared" si="2"/>
        <v>56</v>
      </c>
      <c r="F87" s="3">
        <v>2</v>
      </c>
    </row>
    <row r="88" spans="1:6" ht="15">
      <c r="A88" s="3">
        <v>8</v>
      </c>
      <c r="B88" s="4">
        <v>45009</v>
      </c>
      <c r="C88" s="3">
        <v>27</v>
      </c>
      <c r="D88" s="3">
        <v>31</v>
      </c>
      <c r="E88" s="3">
        <f t="shared" si="2"/>
        <v>68</v>
      </c>
      <c r="F88" s="3">
        <v>12</v>
      </c>
    </row>
    <row r="89" spans="1:6" ht="15">
      <c r="A89" s="3">
        <v>7</v>
      </c>
      <c r="B89" s="4">
        <v>45010</v>
      </c>
      <c r="C89" s="3">
        <v>29</v>
      </c>
      <c r="D89" s="3">
        <v>32</v>
      </c>
      <c r="E89" s="3">
        <f t="shared" si="2"/>
        <v>71</v>
      </c>
      <c r="F89" s="3">
        <v>3</v>
      </c>
    </row>
    <row r="90" spans="1:6" ht="15">
      <c r="A90" s="3">
        <v>6</v>
      </c>
      <c r="B90" s="4">
        <v>45011</v>
      </c>
      <c r="C90" s="3">
        <v>29</v>
      </c>
      <c r="D90" s="3">
        <v>36</v>
      </c>
      <c r="E90" s="3">
        <f t="shared" si="2"/>
        <v>71</v>
      </c>
      <c r="F90" s="3">
        <v>0</v>
      </c>
    </row>
    <row r="91" spans="1:6" ht="15">
      <c r="A91" s="3">
        <v>5</v>
      </c>
      <c r="B91" s="4">
        <v>45012</v>
      </c>
      <c r="C91" s="3">
        <v>30</v>
      </c>
      <c r="D91" s="3">
        <v>40</v>
      </c>
      <c r="E91" s="3">
        <f t="shared" si="2"/>
        <v>74</v>
      </c>
      <c r="F91" s="3">
        <v>3</v>
      </c>
    </row>
    <row r="92" spans="1:6" ht="15">
      <c r="A92" s="3">
        <v>4</v>
      </c>
      <c r="B92" s="4">
        <v>45013</v>
      </c>
      <c r="C92" s="3">
        <v>33</v>
      </c>
      <c r="D92" s="3">
        <v>40</v>
      </c>
      <c r="E92" s="3">
        <f t="shared" si="2"/>
        <v>77</v>
      </c>
      <c r="F92" s="3">
        <v>3</v>
      </c>
    </row>
    <row r="93" spans="1:6" ht="15">
      <c r="A93" s="3">
        <v>3</v>
      </c>
      <c r="B93" s="4">
        <v>45014</v>
      </c>
      <c r="C93" s="3">
        <v>35</v>
      </c>
      <c r="D93" s="3">
        <v>44</v>
      </c>
      <c r="E93" s="3">
        <f t="shared" si="2"/>
        <v>82</v>
      </c>
      <c r="F93" s="3">
        <v>5</v>
      </c>
    </row>
    <row r="94" spans="1:6" ht="15">
      <c r="A94" s="3">
        <v>2</v>
      </c>
      <c r="B94" s="4">
        <v>45015</v>
      </c>
      <c r="C94" s="3">
        <v>39</v>
      </c>
      <c r="D94" s="3">
        <v>46</v>
      </c>
      <c r="E94" s="3">
        <f t="shared" si="2"/>
        <v>83</v>
      </c>
      <c r="F94" s="3">
        <v>1</v>
      </c>
    </row>
    <row r="95" spans="1:6" ht="15">
      <c r="A95" s="3">
        <v>1</v>
      </c>
      <c r="B95" s="4">
        <v>45016</v>
      </c>
      <c r="C95" s="3">
        <v>45</v>
      </c>
      <c r="D95" s="3">
        <v>49</v>
      </c>
      <c r="E95" s="3">
        <f t="shared" si="2"/>
        <v>89</v>
      </c>
      <c r="F95" s="3">
        <v>6</v>
      </c>
    </row>
    <row r="96" spans="1:6" ht="15">
      <c r="A96" s="3">
        <v>0</v>
      </c>
      <c r="B96" s="4"/>
      <c r="C96" s="3">
        <v>48</v>
      </c>
      <c r="D96" s="3">
        <v>49</v>
      </c>
      <c r="E96" s="3">
        <v>91</v>
      </c>
      <c r="F96" s="3">
        <v>2</v>
      </c>
    </row>
    <row r="97" spans="2:4" ht="15">
      <c r="B97" s="4"/>
      <c r="D97" s="3"/>
    </row>
    <row r="98" spans="2:4" ht="15">
      <c r="B98" s="4"/>
      <c r="D98" s="3"/>
    </row>
    <row r="99" spans="2:4" ht="15">
      <c r="B99" s="4"/>
      <c r="D99" s="3"/>
    </row>
    <row r="100" spans="2:4" ht="15">
      <c r="B100" s="4"/>
      <c r="D100" s="3"/>
    </row>
    <row r="101" spans="2:4" ht="15">
      <c r="B101" s="4"/>
      <c r="D101" s="3"/>
    </row>
    <row r="102" spans="2:4" ht="15">
      <c r="D102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1C00-8D59-4B64-A64D-3815AEAD66E3}">
  <dimension ref="A1:E22"/>
  <sheetViews>
    <sheetView workbookViewId="0">
      <selection activeCell="B21" sqref="B21"/>
    </sheetView>
  </sheetViews>
  <sheetFormatPr defaultRowHeight="16.5"/>
  <cols>
    <col min="1" max="1" width="10" bestFit="1" customWidth="1"/>
  </cols>
  <sheetData>
    <row r="1" spans="1:5">
      <c r="A1" s="3" t="s">
        <v>3</v>
      </c>
      <c r="B1" t="s">
        <v>4</v>
      </c>
      <c r="D1" t="s">
        <v>5</v>
      </c>
    </row>
    <row r="2" spans="1:5">
      <c r="A2" s="11">
        <v>44918</v>
      </c>
      <c r="B2">
        <f>D2</f>
        <v>12</v>
      </c>
      <c r="C2">
        <v>20</v>
      </c>
      <c r="D2">
        <v>12</v>
      </c>
      <c r="E2">
        <v>0</v>
      </c>
    </row>
    <row r="3" spans="1:5">
      <c r="A3" s="11">
        <v>44919</v>
      </c>
      <c r="B3">
        <f t="shared" ref="B3:B21" si="0">D3+B2</f>
        <v>19</v>
      </c>
      <c r="C3">
        <v>19</v>
      </c>
      <c r="D3">
        <v>7</v>
      </c>
      <c r="E3">
        <v>1</v>
      </c>
    </row>
    <row r="4" spans="1:5">
      <c r="A4" s="11">
        <v>44920</v>
      </c>
      <c r="B4">
        <f t="shared" si="0"/>
        <v>22</v>
      </c>
      <c r="C4">
        <v>18</v>
      </c>
      <c r="D4">
        <v>3</v>
      </c>
      <c r="E4">
        <v>2</v>
      </c>
    </row>
    <row r="5" spans="1:5">
      <c r="A5" s="11">
        <v>44921</v>
      </c>
      <c r="B5">
        <f t="shared" si="0"/>
        <v>24</v>
      </c>
      <c r="C5">
        <v>17</v>
      </c>
      <c r="D5">
        <v>2</v>
      </c>
      <c r="E5">
        <v>3</v>
      </c>
    </row>
    <row r="6" spans="1:5">
      <c r="A6" s="11">
        <v>44922</v>
      </c>
      <c r="B6">
        <f t="shared" si="0"/>
        <v>37</v>
      </c>
      <c r="C6">
        <v>16</v>
      </c>
      <c r="D6">
        <v>13</v>
      </c>
      <c r="E6">
        <v>4</v>
      </c>
    </row>
    <row r="7" spans="1:5">
      <c r="A7" s="11">
        <v>44923</v>
      </c>
      <c r="B7">
        <f t="shared" si="0"/>
        <v>69</v>
      </c>
      <c r="C7">
        <v>15</v>
      </c>
      <c r="D7">
        <v>32</v>
      </c>
      <c r="E7">
        <v>5</v>
      </c>
    </row>
    <row r="8" spans="1:5">
      <c r="A8" s="11">
        <v>44924</v>
      </c>
      <c r="B8">
        <f t="shared" si="0"/>
        <v>81</v>
      </c>
      <c r="C8">
        <v>14</v>
      </c>
      <c r="D8">
        <v>12</v>
      </c>
      <c r="E8">
        <v>6</v>
      </c>
    </row>
    <row r="9" spans="1:5">
      <c r="A9" s="11">
        <v>44925</v>
      </c>
      <c r="B9">
        <f t="shared" si="0"/>
        <v>117</v>
      </c>
      <c r="C9">
        <v>13</v>
      </c>
      <c r="D9">
        <v>36</v>
      </c>
      <c r="E9">
        <v>7</v>
      </c>
    </row>
    <row r="10" spans="1:5">
      <c r="A10" s="11">
        <v>44926</v>
      </c>
      <c r="B10">
        <f t="shared" si="0"/>
        <v>123</v>
      </c>
      <c r="C10">
        <v>12</v>
      </c>
      <c r="D10">
        <v>6</v>
      </c>
      <c r="E10">
        <v>8</v>
      </c>
    </row>
    <row r="11" spans="1:5">
      <c r="A11" s="11">
        <v>44927</v>
      </c>
      <c r="B11">
        <f t="shared" si="0"/>
        <v>130</v>
      </c>
      <c r="C11">
        <v>11</v>
      </c>
      <c r="D11">
        <v>7</v>
      </c>
      <c r="E11">
        <v>9</v>
      </c>
    </row>
    <row r="12" spans="1:5">
      <c r="A12" s="11">
        <v>44928</v>
      </c>
      <c r="B12">
        <f t="shared" si="0"/>
        <v>132</v>
      </c>
      <c r="C12">
        <v>10</v>
      </c>
      <c r="D12">
        <v>2</v>
      </c>
      <c r="E12">
        <v>10</v>
      </c>
    </row>
    <row r="13" spans="1:5">
      <c r="A13" s="11">
        <v>44929</v>
      </c>
      <c r="B13">
        <f t="shared" si="0"/>
        <v>141</v>
      </c>
      <c r="C13">
        <v>9</v>
      </c>
      <c r="D13">
        <v>9</v>
      </c>
      <c r="E13">
        <v>11</v>
      </c>
    </row>
    <row r="14" spans="1:5">
      <c r="A14" s="11">
        <v>44930</v>
      </c>
      <c r="B14">
        <f t="shared" si="0"/>
        <v>149</v>
      </c>
      <c r="C14">
        <v>8</v>
      </c>
      <c r="D14">
        <v>8</v>
      </c>
      <c r="E14">
        <v>12</v>
      </c>
    </row>
    <row r="15" spans="1:5">
      <c r="A15" s="11">
        <v>44931</v>
      </c>
      <c r="B15">
        <f t="shared" si="0"/>
        <v>155</v>
      </c>
      <c r="C15">
        <v>7</v>
      </c>
      <c r="D15">
        <v>6</v>
      </c>
      <c r="E15">
        <v>13</v>
      </c>
    </row>
    <row r="16" spans="1:5">
      <c r="A16" s="11">
        <v>44932</v>
      </c>
      <c r="B16">
        <f t="shared" si="0"/>
        <v>156</v>
      </c>
      <c r="C16">
        <v>6</v>
      </c>
      <c r="D16">
        <v>1</v>
      </c>
      <c r="E16">
        <v>14</v>
      </c>
    </row>
    <row r="17" spans="1:5">
      <c r="A17" s="11">
        <v>44933</v>
      </c>
      <c r="B17">
        <f t="shared" si="0"/>
        <v>161</v>
      </c>
      <c r="C17">
        <v>5</v>
      </c>
      <c r="D17">
        <v>5</v>
      </c>
      <c r="E17">
        <v>15</v>
      </c>
    </row>
    <row r="18" spans="1:5">
      <c r="A18" s="11">
        <v>44934</v>
      </c>
      <c r="B18">
        <f t="shared" si="0"/>
        <v>161</v>
      </c>
      <c r="C18">
        <v>4</v>
      </c>
      <c r="D18">
        <v>0</v>
      </c>
      <c r="E18">
        <v>16</v>
      </c>
    </row>
    <row r="19" spans="1:5">
      <c r="A19" s="11">
        <v>44935</v>
      </c>
      <c r="B19">
        <f t="shared" si="0"/>
        <v>164</v>
      </c>
      <c r="C19">
        <v>3</v>
      </c>
      <c r="D19">
        <v>3</v>
      </c>
      <c r="E19">
        <v>17</v>
      </c>
    </row>
    <row r="20" spans="1:5">
      <c r="A20" s="11">
        <v>44936</v>
      </c>
      <c r="B20">
        <f t="shared" si="0"/>
        <v>174</v>
      </c>
      <c r="C20">
        <v>2</v>
      </c>
      <c r="D20">
        <v>10</v>
      </c>
      <c r="E20">
        <v>18</v>
      </c>
    </row>
    <row r="21" spans="1:5">
      <c r="A21" s="11">
        <v>44937</v>
      </c>
      <c r="B21">
        <f t="shared" si="0"/>
        <v>188</v>
      </c>
      <c r="C21">
        <v>1</v>
      </c>
      <c r="D21">
        <v>14</v>
      </c>
      <c r="E21">
        <v>19</v>
      </c>
    </row>
    <row r="22" spans="1:5">
      <c r="A22" s="11">
        <v>44938</v>
      </c>
      <c r="C22">
        <v>0</v>
      </c>
      <c r="E22">
        <v>20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2EFA-2ABD-4FD6-9D98-96F22977FB20}">
  <dimension ref="A1:J114"/>
  <sheetViews>
    <sheetView zoomScale="90" zoomScaleNormal="90" workbookViewId="0">
      <pane ySplit="1" topLeftCell="A2" activePane="bottomLeft" state="frozen"/>
      <selection pane="bottomLeft" activeCell="C54" sqref="C54"/>
    </sheetView>
  </sheetViews>
  <sheetFormatPr defaultRowHeight="27.75"/>
  <cols>
    <col min="1" max="1" width="46.25" style="12" customWidth="1"/>
    <col min="2" max="2" width="18.375" style="18" bestFit="1" customWidth="1"/>
    <col min="3" max="3" width="31.25" style="18" bestFit="1" customWidth="1"/>
    <col min="4" max="4" width="24.75" style="18" bestFit="1" customWidth="1"/>
    <col min="5" max="5" width="16.125" style="18" bestFit="1" customWidth="1"/>
    <col min="6" max="6" width="19" style="12" customWidth="1"/>
    <col min="7" max="7" width="12.375" style="18" bestFit="1" customWidth="1"/>
    <col min="8" max="8" width="19.875" style="12" bestFit="1" customWidth="1"/>
    <col min="9" max="9" width="9" style="12"/>
    <col min="10" max="10" width="12.375" style="12" bestFit="1" customWidth="1"/>
    <col min="11" max="16384" width="9" style="12"/>
  </cols>
  <sheetData>
    <row r="1" spans="1:10">
      <c r="A1" s="32" t="s">
        <v>6</v>
      </c>
      <c r="B1" s="19" t="s">
        <v>7</v>
      </c>
      <c r="C1" s="19" t="s">
        <v>8</v>
      </c>
      <c r="D1" s="19" t="s">
        <v>9</v>
      </c>
      <c r="E1" s="19" t="s">
        <v>10</v>
      </c>
      <c r="F1" s="32" t="s">
        <v>11</v>
      </c>
      <c r="G1" s="19" t="s">
        <v>12</v>
      </c>
      <c r="H1" s="32"/>
      <c r="I1" s="32"/>
      <c r="J1" s="32"/>
    </row>
    <row r="2" spans="1:10">
      <c r="A2" s="33" t="s">
        <v>13</v>
      </c>
      <c r="B2" s="19" t="s">
        <v>14</v>
      </c>
      <c r="C2" s="19" t="s">
        <v>15</v>
      </c>
      <c r="D2" s="19" t="s">
        <v>16</v>
      </c>
      <c r="E2" s="19" t="s">
        <v>14</v>
      </c>
      <c r="F2" s="39"/>
      <c r="G2" s="19" t="s">
        <v>17</v>
      </c>
      <c r="H2" s="32"/>
      <c r="I2" s="32"/>
      <c r="J2" s="32"/>
    </row>
    <row r="3" spans="1:10">
      <c r="A3" s="33" t="s">
        <v>18</v>
      </c>
      <c r="B3" s="19" t="s">
        <v>15</v>
      </c>
      <c r="C3" s="19" t="s">
        <v>15</v>
      </c>
      <c r="D3" s="19" t="s">
        <v>19</v>
      </c>
      <c r="E3" s="19" t="s">
        <v>15</v>
      </c>
      <c r="F3" s="39"/>
      <c r="G3" s="19" t="s">
        <v>20</v>
      </c>
      <c r="H3" s="32"/>
      <c r="I3" s="32"/>
      <c r="J3" s="32"/>
    </row>
    <row r="4" spans="1:10">
      <c r="A4" s="46" t="s">
        <v>21</v>
      </c>
      <c r="B4" s="19" t="s">
        <v>15</v>
      </c>
      <c r="C4" s="47" t="s">
        <v>15</v>
      </c>
      <c r="D4" s="47" t="s">
        <v>22</v>
      </c>
      <c r="E4" s="47" t="s">
        <v>14</v>
      </c>
      <c r="F4" s="39"/>
      <c r="G4" s="47" t="s">
        <v>23</v>
      </c>
      <c r="H4" s="32"/>
      <c r="I4" s="32"/>
      <c r="J4" s="32"/>
    </row>
    <row r="5" spans="1:10">
      <c r="A5" s="46"/>
      <c r="B5" s="19" t="s">
        <v>15</v>
      </c>
      <c r="C5" s="47"/>
      <c r="D5" s="47"/>
      <c r="E5" s="47"/>
      <c r="F5" s="39"/>
      <c r="G5" s="47"/>
      <c r="H5" s="32"/>
      <c r="I5" s="32"/>
      <c r="J5" s="32"/>
    </row>
    <row r="6" spans="1:10">
      <c r="A6" s="33" t="s">
        <v>24</v>
      </c>
      <c r="B6" s="19" t="s">
        <v>15</v>
      </c>
      <c r="C6" s="19" t="s">
        <v>15</v>
      </c>
      <c r="D6" s="19" t="s">
        <v>25</v>
      </c>
      <c r="E6" s="19" t="s">
        <v>15</v>
      </c>
      <c r="F6" s="39"/>
      <c r="G6" s="19" t="s">
        <v>26</v>
      </c>
      <c r="H6" s="32"/>
      <c r="I6" s="32"/>
      <c r="J6" s="32"/>
    </row>
    <row r="7" spans="1:10">
      <c r="A7" s="33" t="s">
        <v>27</v>
      </c>
      <c r="B7" s="19" t="s">
        <v>15</v>
      </c>
      <c r="C7" s="19" t="s">
        <v>15</v>
      </c>
      <c r="D7" s="19" t="s">
        <v>28</v>
      </c>
      <c r="E7" s="19" t="s">
        <v>15</v>
      </c>
      <c r="F7" s="39"/>
      <c r="G7" s="19" t="s">
        <v>29</v>
      </c>
      <c r="H7" s="32"/>
      <c r="I7" s="32"/>
      <c r="J7" s="32"/>
    </row>
    <row r="8" spans="1:10">
      <c r="A8" s="46" t="s">
        <v>30</v>
      </c>
      <c r="B8" s="19" t="s">
        <v>15</v>
      </c>
      <c r="C8" s="47" t="s">
        <v>15</v>
      </c>
      <c r="D8" s="47" t="s">
        <v>31</v>
      </c>
      <c r="E8" s="47" t="s">
        <v>15</v>
      </c>
      <c r="F8" s="39"/>
      <c r="G8" s="47" t="s">
        <v>32</v>
      </c>
      <c r="H8" s="32"/>
      <c r="I8" s="32"/>
      <c r="J8" s="32"/>
    </row>
    <row r="9" spans="1:10">
      <c r="A9" s="46"/>
      <c r="B9" s="19" t="s">
        <v>15</v>
      </c>
      <c r="C9" s="47"/>
      <c r="D9" s="47"/>
      <c r="E9" s="47"/>
      <c r="F9" s="39"/>
      <c r="G9" s="47"/>
      <c r="H9" s="32"/>
      <c r="I9" s="32"/>
      <c r="J9" s="32"/>
    </row>
    <row r="10" spans="1:10">
      <c r="A10" s="33" t="s">
        <v>33</v>
      </c>
      <c r="B10" s="19" t="s">
        <v>15</v>
      </c>
      <c r="C10" s="19" t="s">
        <v>34</v>
      </c>
      <c r="D10" s="19" t="s">
        <v>35</v>
      </c>
      <c r="E10" s="19" t="s">
        <v>36</v>
      </c>
      <c r="F10" s="39"/>
      <c r="G10" s="19" t="s">
        <v>37</v>
      </c>
      <c r="H10" s="32"/>
      <c r="I10" s="32"/>
      <c r="J10" s="32"/>
    </row>
    <row r="11" spans="1:10">
      <c r="A11" s="34" t="s">
        <v>38</v>
      </c>
      <c r="B11" s="19" t="s">
        <v>15</v>
      </c>
      <c r="C11" s="19" t="s">
        <v>15</v>
      </c>
      <c r="D11" s="19" t="s">
        <v>39</v>
      </c>
      <c r="E11" s="19" t="s">
        <v>15</v>
      </c>
      <c r="F11" s="39"/>
      <c r="G11" s="19" t="s">
        <v>40</v>
      </c>
      <c r="H11" s="32"/>
      <c r="I11" s="32"/>
      <c r="J11" s="32"/>
    </row>
    <row r="12" spans="1:10">
      <c r="A12" s="33" t="s">
        <v>41</v>
      </c>
      <c r="B12" s="19" t="s">
        <v>15</v>
      </c>
      <c r="C12" s="19" t="s">
        <v>15</v>
      </c>
      <c r="D12" s="19" t="s">
        <v>42</v>
      </c>
      <c r="E12" s="19" t="s">
        <v>15</v>
      </c>
      <c r="F12" s="39"/>
      <c r="G12" s="19" t="s">
        <v>43</v>
      </c>
      <c r="H12" s="32"/>
      <c r="I12" s="32"/>
      <c r="J12" s="32"/>
    </row>
    <row r="13" spans="1:10">
      <c r="A13" s="33" t="s">
        <v>44</v>
      </c>
      <c r="B13" s="19" t="s">
        <v>15</v>
      </c>
      <c r="C13" s="19" t="s">
        <v>15</v>
      </c>
      <c r="D13" s="19" t="s">
        <v>45</v>
      </c>
      <c r="E13" s="19" t="s">
        <v>15</v>
      </c>
      <c r="F13" s="39"/>
      <c r="G13" s="19" t="s">
        <v>46</v>
      </c>
      <c r="H13" s="32"/>
      <c r="I13" s="32"/>
      <c r="J13" s="32"/>
    </row>
    <row r="14" spans="1:10">
      <c r="A14" s="33" t="s">
        <v>47</v>
      </c>
      <c r="B14" s="19" t="s">
        <v>15</v>
      </c>
      <c r="C14" s="19" t="s">
        <v>15</v>
      </c>
      <c r="D14" s="19" t="s">
        <v>48</v>
      </c>
      <c r="E14" s="19" t="s">
        <v>15</v>
      </c>
      <c r="F14" s="39"/>
      <c r="G14" s="19" t="s">
        <v>49</v>
      </c>
      <c r="H14" s="32"/>
      <c r="I14" s="32"/>
      <c r="J14" s="32"/>
    </row>
    <row r="15" spans="1:10">
      <c r="A15" s="33" t="s">
        <v>50</v>
      </c>
      <c r="B15" s="19" t="s">
        <v>14</v>
      </c>
      <c r="C15" s="19" t="s">
        <v>14</v>
      </c>
      <c r="D15" s="19" t="s">
        <v>51</v>
      </c>
      <c r="E15" s="19" t="s">
        <v>14</v>
      </c>
      <c r="F15" s="39"/>
      <c r="G15" s="19" t="s">
        <v>52</v>
      </c>
      <c r="H15" s="32"/>
      <c r="I15" s="32"/>
      <c r="J15" s="32"/>
    </row>
    <row r="16" spans="1:10">
      <c r="A16" s="33" t="s">
        <v>53</v>
      </c>
      <c r="B16" s="19" t="s">
        <v>14</v>
      </c>
      <c r="C16" s="19" t="s">
        <v>14</v>
      </c>
      <c r="D16" s="19" t="s">
        <v>54</v>
      </c>
      <c r="E16" s="19" t="s">
        <v>15</v>
      </c>
      <c r="F16" s="40"/>
      <c r="G16" s="19" t="s">
        <v>55</v>
      </c>
      <c r="H16" s="32"/>
      <c r="I16" s="32"/>
      <c r="J16" s="32"/>
    </row>
    <row r="17" spans="1:10">
      <c r="A17" s="33" t="s">
        <v>56</v>
      </c>
      <c r="B17" s="19" t="s">
        <v>14</v>
      </c>
      <c r="C17" s="19" t="s">
        <v>14</v>
      </c>
      <c r="D17" s="19" t="s">
        <v>57</v>
      </c>
      <c r="E17" s="19" t="s">
        <v>14</v>
      </c>
      <c r="F17" s="39"/>
      <c r="G17" s="19" t="s">
        <v>58</v>
      </c>
      <c r="H17" s="32"/>
      <c r="I17" s="32"/>
      <c r="J17" s="32"/>
    </row>
    <row r="18" spans="1:10">
      <c r="A18" s="46" t="s">
        <v>59</v>
      </c>
      <c r="B18" s="19" t="s">
        <v>14</v>
      </c>
      <c r="C18" s="47" t="s">
        <v>15</v>
      </c>
      <c r="D18" s="47" t="s">
        <v>60</v>
      </c>
      <c r="E18" s="47" t="s">
        <v>36</v>
      </c>
      <c r="F18" s="39"/>
      <c r="G18" s="47" t="s">
        <v>61</v>
      </c>
      <c r="H18" s="32"/>
      <c r="I18" s="32"/>
      <c r="J18" s="32"/>
    </row>
    <row r="19" spans="1:10">
      <c r="A19" s="46"/>
      <c r="B19" s="19" t="s">
        <v>14</v>
      </c>
      <c r="C19" s="47"/>
      <c r="D19" s="47"/>
      <c r="E19" s="47"/>
      <c r="F19" s="39"/>
      <c r="G19" s="47"/>
      <c r="H19" s="32"/>
      <c r="I19" s="32"/>
      <c r="J19" s="32"/>
    </row>
    <row r="20" spans="1:10">
      <c r="A20" s="33" t="s">
        <v>62</v>
      </c>
      <c r="B20" s="19" t="s">
        <v>15</v>
      </c>
      <c r="C20" s="19" t="s">
        <v>14</v>
      </c>
      <c r="D20" s="19" t="s">
        <v>63</v>
      </c>
      <c r="E20" s="19" t="s">
        <v>14</v>
      </c>
      <c r="F20" s="39"/>
      <c r="G20" s="19" t="s">
        <v>64</v>
      </c>
      <c r="H20" s="32"/>
      <c r="I20" s="32"/>
      <c r="J20" s="32"/>
    </row>
    <row r="21" spans="1:10">
      <c r="A21" s="33" t="s">
        <v>65</v>
      </c>
      <c r="B21" s="19" t="s">
        <v>15</v>
      </c>
      <c r="C21" s="19" t="s">
        <v>15</v>
      </c>
      <c r="D21" s="19" t="s">
        <v>66</v>
      </c>
      <c r="E21" s="19" t="s">
        <v>14</v>
      </c>
      <c r="F21" s="39"/>
      <c r="G21" s="19" t="s">
        <v>67</v>
      </c>
      <c r="H21" s="32"/>
      <c r="I21" s="32"/>
      <c r="J21" s="32"/>
    </row>
    <row r="22" spans="1:10">
      <c r="A22" s="46" t="s">
        <v>68</v>
      </c>
      <c r="B22" s="19" t="s">
        <v>15</v>
      </c>
      <c r="C22" s="47" t="s">
        <v>15</v>
      </c>
      <c r="D22" s="47" t="s">
        <v>69</v>
      </c>
      <c r="E22" s="47" t="s">
        <v>14</v>
      </c>
      <c r="F22" s="39"/>
      <c r="G22" s="47" t="s">
        <v>70</v>
      </c>
      <c r="H22" s="32"/>
      <c r="I22" s="32"/>
      <c r="J22" s="32"/>
    </row>
    <row r="23" spans="1:10">
      <c r="A23" s="46"/>
      <c r="B23" s="19" t="s">
        <v>15</v>
      </c>
      <c r="C23" s="47"/>
      <c r="D23" s="47"/>
      <c r="E23" s="47"/>
      <c r="F23" s="39"/>
      <c r="G23" s="47"/>
      <c r="H23" s="32"/>
      <c r="I23" s="32"/>
      <c r="J23" s="32"/>
    </row>
    <row r="24" spans="1:10">
      <c r="A24" s="33" t="s">
        <v>71</v>
      </c>
      <c r="B24" s="19" t="s">
        <v>14</v>
      </c>
      <c r="C24" s="19" t="s">
        <v>14</v>
      </c>
      <c r="D24" s="19" t="s">
        <v>72</v>
      </c>
      <c r="E24" s="19" t="s">
        <v>15</v>
      </c>
      <c r="F24" s="39"/>
      <c r="G24" s="19" t="s">
        <v>73</v>
      </c>
      <c r="H24" s="32"/>
      <c r="I24" s="32"/>
      <c r="J24" s="32"/>
    </row>
    <row r="25" spans="1:10">
      <c r="A25" s="33" t="s">
        <v>74</v>
      </c>
      <c r="B25" s="19" t="s">
        <v>15</v>
      </c>
      <c r="C25" s="19" t="s">
        <v>15</v>
      </c>
      <c r="D25" s="19" t="s">
        <v>75</v>
      </c>
      <c r="E25" s="19" t="s">
        <v>15</v>
      </c>
      <c r="F25" s="39"/>
      <c r="G25" s="19" t="s">
        <v>76</v>
      </c>
      <c r="H25" s="32"/>
      <c r="I25" s="32"/>
      <c r="J25" s="32"/>
    </row>
    <row r="26" spans="1:10">
      <c r="A26" s="33" t="s">
        <v>77</v>
      </c>
      <c r="B26" s="19" t="s">
        <v>15</v>
      </c>
      <c r="C26" s="19" t="s">
        <v>15</v>
      </c>
      <c r="D26" s="19" t="s">
        <v>78</v>
      </c>
      <c r="E26" s="19" t="s">
        <v>15</v>
      </c>
      <c r="F26" s="39"/>
      <c r="G26" s="19" t="s">
        <v>79</v>
      </c>
      <c r="H26" s="32"/>
      <c r="I26" s="32"/>
      <c r="J26" s="32"/>
    </row>
    <row r="27" spans="1:10">
      <c r="A27" s="36" t="s">
        <v>80</v>
      </c>
      <c r="B27" s="19" t="s">
        <v>15</v>
      </c>
      <c r="C27" s="19" t="s">
        <v>34</v>
      </c>
      <c r="D27" s="19" t="s">
        <v>81</v>
      </c>
      <c r="E27" s="19" t="s">
        <v>15</v>
      </c>
      <c r="F27" s="40" t="s">
        <v>82</v>
      </c>
      <c r="G27" s="19" t="s">
        <v>83</v>
      </c>
      <c r="H27" s="37"/>
      <c r="I27" s="32"/>
      <c r="J27" s="32"/>
    </row>
    <row r="28" spans="1:10">
      <c r="A28" s="33" t="s">
        <v>84</v>
      </c>
      <c r="B28" s="19" t="s">
        <v>15</v>
      </c>
      <c r="C28" s="19" t="s">
        <v>15</v>
      </c>
      <c r="D28" s="19" t="s">
        <v>85</v>
      </c>
      <c r="E28" s="19" t="s">
        <v>15</v>
      </c>
      <c r="F28" s="39" t="s">
        <v>86</v>
      </c>
      <c r="G28" s="19" t="s">
        <v>87</v>
      </c>
      <c r="H28" s="32"/>
      <c r="I28" s="32"/>
      <c r="J28" s="32"/>
    </row>
    <row r="29" spans="1:10">
      <c r="A29" s="46" t="s">
        <v>88</v>
      </c>
      <c r="B29" s="19" t="s">
        <v>15</v>
      </c>
      <c r="C29" s="47" t="s">
        <v>15</v>
      </c>
      <c r="D29" s="47" t="s">
        <v>89</v>
      </c>
      <c r="E29" s="47" t="s">
        <v>15</v>
      </c>
      <c r="F29" s="39"/>
      <c r="G29" s="47" t="s">
        <v>90</v>
      </c>
      <c r="H29" s="32"/>
      <c r="I29" s="32"/>
      <c r="J29" s="32"/>
    </row>
    <row r="30" spans="1:10">
      <c r="A30" s="46"/>
      <c r="B30" s="19" t="s">
        <v>15</v>
      </c>
      <c r="C30" s="47"/>
      <c r="D30" s="47"/>
      <c r="E30" s="47"/>
      <c r="F30" s="39"/>
      <c r="G30" s="47"/>
      <c r="H30" s="32"/>
      <c r="I30" s="32"/>
      <c r="J30" s="32"/>
    </row>
    <row r="31" spans="1:10">
      <c r="A31" s="33" t="s">
        <v>91</v>
      </c>
      <c r="B31" s="19" t="s">
        <v>15</v>
      </c>
      <c r="C31" s="19" t="s">
        <v>15</v>
      </c>
      <c r="D31" s="19" t="s">
        <v>92</v>
      </c>
      <c r="E31" s="19" t="s">
        <v>15</v>
      </c>
      <c r="F31" s="39" t="s">
        <v>93</v>
      </c>
      <c r="G31" s="19" t="s">
        <v>94</v>
      </c>
      <c r="H31" s="32"/>
      <c r="I31" s="32"/>
      <c r="J31" s="32"/>
    </row>
    <row r="32" spans="1:10">
      <c r="A32" s="33" t="s">
        <v>95</v>
      </c>
      <c r="B32" s="19" t="s">
        <v>15</v>
      </c>
      <c r="C32" s="19" t="s">
        <v>15</v>
      </c>
      <c r="D32" s="19" t="s">
        <v>96</v>
      </c>
      <c r="E32" s="19" t="s">
        <v>15</v>
      </c>
      <c r="F32" s="40"/>
      <c r="G32" s="19" t="s">
        <v>97</v>
      </c>
      <c r="H32" s="32"/>
      <c r="I32" s="32"/>
      <c r="J32" s="32"/>
    </row>
    <row r="33" spans="1:10">
      <c r="A33" s="33" t="s">
        <v>98</v>
      </c>
      <c r="B33" s="19" t="s">
        <v>15</v>
      </c>
      <c r="C33" s="19" t="s">
        <v>15</v>
      </c>
      <c r="D33" s="19" t="s">
        <v>99</v>
      </c>
      <c r="E33" s="19" t="s">
        <v>15</v>
      </c>
      <c r="F33" s="40"/>
      <c r="G33" s="19" t="s">
        <v>100</v>
      </c>
      <c r="H33" s="32"/>
      <c r="I33" s="32"/>
      <c r="J33" s="32"/>
    </row>
    <row r="34" spans="1:10">
      <c r="A34" s="33" t="s">
        <v>101</v>
      </c>
      <c r="B34" s="19" t="s">
        <v>15</v>
      </c>
      <c r="C34" s="19" t="s">
        <v>15</v>
      </c>
      <c r="D34" s="19" t="s">
        <v>102</v>
      </c>
      <c r="E34" s="19" t="s">
        <v>15</v>
      </c>
      <c r="F34" s="39"/>
      <c r="G34" s="19" t="s">
        <v>103</v>
      </c>
      <c r="H34" s="32"/>
      <c r="I34" s="32"/>
      <c r="J34" s="32"/>
    </row>
    <row r="35" spans="1:10">
      <c r="A35" s="33" t="s">
        <v>104</v>
      </c>
      <c r="B35" s="19" t="s">
        <v>15</v>
      </c>
      <c r="C35" s="19" t="s">
        <v>15</v>
      </c>
      <c r="D35" s="19" t="s">
        <v>105</v>
      </c>
      <c r="E35" s="19" t="s">
        <v>15</v>
      </c>
      <c r="F35" s="39" t="s">
        <v>106</v>
      </c>
      <c r="G35" s="19" t="s">
        <v>107</v>
      </c>
      <c r="H35" s="32"/>
      <c r="I35" s="32"/>
      <c r="J35" s="32"/>
    </row>
    <row r="36" spans="1:10">
      <c r="A36" s="46" t="s">
        <v>108</v>
      </c>
      <c r="B36" s="47" t="s">
        <v>15</v>
      </c>
      <c r="C36" s="47" t="s">
        <v>15</v>
      </c>
      <c r="D36" s="47" t="s">
        <v>109</v>
      </c>
      <c r="E36" s="47" t="s">
        <v>15</v>
      </c>
      <c r="F36" s="39"/>
      <c r="G36" s="47" t="s">
        <v>110</v>
      </c>
      <c r="H36" s="32"/>
      <c r="I36" s="32"/>
      <c r="J36" s="32"/>
    </row>
    <row r="37" spans="1:10">
      <c r="A37" s="46"/>
      <c r="B37" s="47"/>
      <c r="C37" s="47"/>
      <c r="D37" s="47"/>
      <c r="E37" s="47"/>
      <c r="F37" s="39"/>
      <c r="G37" s="47"/>
      <c r="H37" s="32"/>
      <c r="I37" s="32"/>
      <c r="J37" s="32"/>
    </row>
    <row r="38" spans="1:10">
      <c r="A38" s="46" t="s">
        <v>111</v>
      </c>
      <c r="B38" s="19" t="s">
        <v>15</v>
      </c>
      <c r="C38" s="47" t="s">
        <v>34</v>
      </c>
      <c r="D38" s="47" t="s">
        <v>112</v>
      </c>
      <c r="E38" s="47" t="s">
        <v>15</v>
      </c>
      <c r="F38" s="39"/>
      <c r="G38" s="47" t="s">
        <v>113</v>
      </c>
      <c r="H38" s="32"/>
      <c r="I38" s="32"/>
      <c r="J38" s="32"/>
    </row>
    <row r="39" spans="1:10">
      <c r="A39" s="46"/>
      <c r="B39" s="19" t="s">
        <v>15</v>
      </c>
      <c r="C39" s="47"/>
      <c r="D39" s="47"/>
      <c r="E39" s="47"/>
      <c r="F39" s="39"/>
      <c r="G39" s="47"/>
      <c r="H39" s="32"/>
      <c r="I39" s="32"/>
      <c r="J39" s="32"/>
    </row>
    <row r="40" spans="1:10">
      <c r="A40" s="33" t="s">
        <v>114</v>
      </c>
      <c r="B40" s="19" t="s">
        <v>15</v>
      </c>
      <c r="C40" s="19" t="s">
        <v>15</v>
      </c>
      <c r="D40" s="19" t="s">
        <v>115</v>
      </c>
      <c r="E40" s="19" t="s">
        <v>15</v>
      </c>
      <c r="F40" s="39"/>
      <c r="G40" s="19" t="s">
        <v>116</v>
      </c>
      <c r="H40" s="32"/>
      <c r="I40" s="32"/>
      <c r="J40" s="32"/>
    </row>
    <row r="41" spans="1:10">
      <c r="A41" s="36" t="s">
        <v>117</v>
      </c>
      <c r="B41" s="19" t="s">
        <v>15</v>
      </c>
      <c r="C41" s="47" t="s">
        <v>34</v>
      </c>
      <c r="D41" s="19" t="s">
        <v>118</v>
      </c>
      <c r="E41" s="19"/>
      <c r="F41" s="39"/>
      <c r="G41" s="19" t="s">
        <v>119</v>
      </c>
      <c r="H41" s="32"/>
      <c r="I41" s="32"/>
      <c r="J41" s="32"/>
    </row>
    <row r="42" spans="1:10">
      <c r="A42" s="36" t="s">
        <v>120</v>
      </c>
      <c r="B42" s="19" t="s">
        <v>15</v>
      </c>
      <c r="C42" s="47"/>
      <c r="D42" s="19" t="s">
        <v>121</v>
      </c>
      <c r="E42" s="19"/>
      <c r="F42" s="39"/>
      <c r="G42" s="19" t="s">
        <v>122</v>
      </c>
      <c r="H42" s="32"/>
      <c r="I42" s="32"/>
      <c r="J42" s="32"/>
    </row>
    <row r="43" spans="1:10">
      <c r="A43" s="46" t="s">
        <v>123</v>
      </c>
      <c r="B43" s="19" t="s">
        <v>15</v>
      </c>
      <c r="C43" s="47" t="s">
        <v>15</v>
      </c>
      <c r="D43" s="47" t="s">
        <v>124</v>
      </c>
      <c r="E43" s="47" t="s">
        <v>15</v>
      </c>
      <c r="F43" s="39"/>
      <c r="G43" s="47" t="s">
        <v>125</v>
      </c>
      <c r="H43" s="32"/>
      <c r="I43" s="32"/>
      <c r="J43" s="32"/>
    </row>
    <row r="44" spans="1:10">
      <c r="A44" s="46"/>
      <c r="B44" s="19" t="s">
        <v>15</v>
      </c>
      <c r="C44" s="47"/>
      <c r="D44" s="47"/>
      <c r="E44" s="47"/>
      <c r="F44" s="39"/>
      <c r="G44" s="47"/>
      <c r="H44" s="32"/>
      <c r="I44" s="32"/>
      <c r="J44" s="32"/>
    </row>
    <row r="45" spans="1:10">
      <c r="A45" s="33" t="s">
        <v>126</v>
      </c>
      <c r="B45" s="19" t="s">
        <v>15</v>
      </c>
      <c r="C45" s="19" t="s">
        <v>15</v>
      </c>
      <c r="D45" s="19" t="s">
        <v>127</v>
      </c>
      <c r="E45" s="19" t="s">
        <v>15</v>
      </c>
      <c r="F45" s="39"/>
      <c r="G45" s="19" t="s">
        <v>128</v>
      </c>
      <c r="H45" s="32"/>
      <c r="I45" s="32"/>
      <c r="J45" s="32"/>
    </row>
    <row r="46" spans="1:10">
      <c r="A46" s="33" t="s">
        <v>129</v>
      </c>
      <c r="B46" s="19" t="s">
        <v>15</v>
      </c>
      <c r="C46" s="19" t="s">
        <v>15</v>
      </c>
      <c r="D46" s="19" t="s">
        <v>130</v>
      </c>
      <c r="E46" s="19"/>
      <c r="F46" s="39"/>
      <c r="G46" s="19" t="s">
        <v>131</v>
      </c>
      <c r="H46" s="32"/>
      <c r="I46" s="32"/>
      <c r="J46" s="32"/>
    </row>
    <row r="47" spans="1:10">
      <c r="A47" s="33" t="s">
        <v>132</v>
      </c>
      <c r="B47" s="19" t="s">
        <v>15</v>
      </c>
      <c r="C47" s="19" t="s">
        <v>15</v>
      </c>
      <c r="D47" s="19" t="s">
        <v>133</v>
      </c>
      <c r="E47" s="19" t="s">
        <v>15</v>
      </c>
      <c r="F47" s="39"/>
      <c r="G47" s="19" t="s">
        <v>134</v>
      </c>
      <c r="H47" s="32"/>
      <c r="I47" s="32"/>
      <c r="J47" s="32"/>
    </row>
    <row r="48" spans="1:10">
      <c r="A48" s="33" t="s">
        <v>135</v>
      </c>
      <c r="B48" s="19" t="s">
        <v>15</v>
      </c>
      <c r="C48" s="19" t="s">
        <v>15</v>
      </c>
      <c r="D48" s="19" t="s">
        <v>136</v>
      </c>
      <c r="E48" s="19" t="s">
        <v>36</v>
      </c>
      <c r="F48" s="39"/>
      <c r="G48" s="19" t="s">
        <v>137</v>
      </c>
      <c r="H48" s="32"/>
      <c r="I48" s="32"/>
      <c r="J48" s="32"/>
    </row>
    <row r="49" spans="1:10">
      <c r="A49" s="33" t="s">
        <v>138</v>
      </c>
      <c r="B49" s="19" t="s">
        <v>15</v>
      </c>
      <c r="C49" s="19" t="s">
        <v>15</v>
      </c>
      <c r="D49" s="19" t="s">
        <v>139</v>
      </c>
      <c r="E49" s="19" t="s">
        <v>15</v>
      </c>
      <c r="F49" s="39"/>
      <c r="G49" s="19" t="s">
        <v>140</v>
      </c>
      <c r="H49" s="32"/>
      <c r="I49" s="32"/>
      <c r="J49" s="32"/>
    </row>
    <row r="50" spans="1:10">
      <c r="A50" s="33" t="s">
        <v>141</v>
      </c>
      <c r="B50" s="19" t="s">
        <v>15</v>
      </c>
      <c r="C50" s="19" t="s">
        <v>15</v>
      </c>
      <c r="D50" s="19" t="s">
        <v>142</v>
      </c>
      <c r="E50" s="19" t="s">
        <v>15</v>
      </c>
      <c r="F50" s="39"/>
      <c r="G50" s="19" t="s">
        <v>143</v>
      </c>
      <c r="H50" s="32"/>
      <c r="I50" s="32"/>
      <c r="J50" s="32"/>
    </row>
    <row r="51" spans="1:10">
      <c r="A51" s="33" t="s">
        <v>144</v>
      </c>
      <c r="B51" s="19" t="s">
        <v>15</v>
      </c>
      <c r="C51" s="19" t="s">
        <v>15</v>
      </c>
      <c r="D51" s="19" t="s">
        <v>145</v>
      </c>
      <c r="E51" s="19" t="s">
        <v>15</v>
      </c>
      <c r="F51" s="40" t="s">
        <v>146</v>
      </c>
      <c r="G51" s="19" t="s">
        <v>147</v>
      </c>
      <c r="H51" s="32"/>
      <c r="I51" s="32"/>
      <c r="J51" s="32"/>
    </row>
    <row r="52" spans="1:10">
      <c r="A52" s="33" t="s">
        <v>148</v>
      </c>
      <c r="B52" s="19" t="s">
        <v>15</v>
      </c>
      <c r="C52" s="19" t="s">
        <v>15</v>
      </c>
      <c r="D52" s="19" t="s">
        <v>149</v>
      </c>
      <c r="E52" s="19" t="s">
        <v>15</v>
      </c>
      <c r="F52" s="39"/>
      <c r="G52" s="19" t="s">
        <v>150</v>
      </c>
      <c r="H52" s="32"/>
      <c r="I52" s="32"/>
      <c r="J52" s="32"/>
    </row>
    <row r="53" spans="1:10">
      <c r="A53" s="33" t="s">
        <v>151</v>
      </c>
      <c r="B53" s="19" t="s">
        <v>15</v>
      </c>
      <c r="C53" s="19" t="s">
        <v>15</v>
      </c>
      <c r="D53" s="19" t="s">
        <v>152</v>
      </c>
      <c r="E53" s="19" t="s">
        <v>15</v>
      </c>
      <c r="F53" s="39"/>
      <c r="G53" s="19" t="s">
        <v>153</v>
      </c>
      <c r="H53" s="32"/>
      <c r="I53" s="32"/>
      <c r="J53" s="32"/>
    </row>
    <row r="54" spans="1:10">
      <c r="A54" s="33" t="s">
        <v>154</v>
      </c>
      <c r="B54" s="19" t="s">
        <v>15</v>
      </c>
      <c r="C54" s="19" t="s">
        <v>34</v>
      </c>
      <c r="D54" s="19" t="s">
        <v>155</v>
      </c>
      <c r="E54" s="19"/>
      <c r="F54" s="39"/>
      <c r="G54" s="19" t="s">
        <v>156</v>
      </c>
      <c r="H54" s="32"/>
      <c r="I54" s="32"/>
      <c r="J54" s="32"/>
    </row>
    <row r="55" spans="1:10">
      <c r="A55" s="46" t="s">
        <v>157</v>
      </c>
      <c r="B55" s="47" t="s">
        <v>15</v>
      </c>
      <c r="C55" s="47" t="s">
        <v>15</v>
      </c>
      <c r="D55" s="47" t="s">
        <v>158</v>
      </c>
      <c r="E55" s="47" t="s">
        <v>15</v>
      </c>
      <c r="F55" s="39"/>
      <c r="G55" s="47" t="s">
        <v>159</v>
      </c>
      <c r="H55" s="37" t="s">
        <v>160</v>
      </c>
      <c r="I55" s="32"/>
      <c r="J55" s="32"/>
    </row>
    <row r="56" spans="1:10">
      <c r="A56" s="46"/>
      <c r="B56" s="47"/>
      <c r="C56" s="47"/>
      <c r="D56" s="47"/>
      <c r="E56" s="47"/>
      <c r="F56" s="39"/>
      <c r="G56" s="47"/>
      <c r="H56" s="37"/>
      <c r="I56" s="32"/>
      <c r="J56" s="32"/>
    </row>
    <row r="57" spans="1:10">
      <c r="A57" s="46"/>
      <c r="B57" s="47"/>
      <c r="C57" s="47"/>
      <c r="D57" s="47"/>
      <c r="E57" s="47"/>
      <c r="F57" s="39"/>
      <c r="G57" s="47"/>
      <c r="H57" s="37"/>
      <c r="I57" s="32"/>
      <c r="J57" s="32"/>
    </row>
    <row r="58" spans="1:10">
      <c r="A58" s="46" t="s">
        <v>161</v>
      </c>
      <c r="B58" s="19" t="s">
        <v>15</v>
      </c>
      <c r="C58" s="47" t="s">
        <v>15</v>
      </c>
      <c r="D58" s="47" t="s">
        <v>162</v>
      </c>
      <c r="E58" s="19" t="s">
        <v>15</v>
      </c>
      <c r="F58" s="39"/>
      <c r="G58" s="47" t="s">
        <v>163</v>
      </c>
      <c r="H58" s="32"/>
      <c r="I58" s="32"/>
      <c r="J58" s="32"/>
    </row>
    <row r="59" spans="1:10">
      <c r="A59" s="46"/>
      <c r="B59" s="19" t="s">
        <v>15</v>
      </c>
      <c r="C59" s="47"/>
      <c r="D59" s="47"/>
      <c r="E59" s="19" t="s">
        <v>15</v>
      </c>
      <c r="F59" s="39"/>
      <c r="G59" s="47"/>
      <c r="H59" s="32"/>
      <c r="I59" s="32"/>
      <c r="J59" s="32"/>
    </row>
    <row r="60" spans="1:10">
      <c r="A60" s="46"/>
      <c r="B60" s="19" t="s">
        <v>15</v>
      </c>
      <c r="C60" s="47"/>
      <c r="D60" s="47"/>
      <c r="E60" s="19" t="s">
        <v>15</v>
      </c>
      <c r="F60" s="39"/>
      <c r="G60" s="47"/>
      <c r="H60" s="32"/>
      <c r="I60" s="32"/>
      <c r="J60" s="32"/>
    </row>
    <row r="61" spans="1:10">
      <c r="A61" s="33" t="s">
        <v>164</v>
      </c>
      <c r="B61" s="19" t="s">
        <v>15</v>
      </c>
      <c r="C61" s="19" t="s">
        <v>15</v>
      </c>
      <c r="D61" s="19" t="s">
        <v>165</v>
      </c>
      <c r="E61" s="19" t="s">
        <v>15</v>
      </c>
      <c r="F61" s="39" t="s">
        <v>166</v>
      </c>
      <c r="G61" s="19" t="s">
        <v>167</v>
      </c>
      <c r="H61" s="32"/>
      <c r="I61" s="32"/>
      <c r="J61" s="32"/>
    </row>
    <row r="62" spans="1:10">
      <c r="A62" s="33" t="s">
        <v>168</v>
      </c>
      <c r="B62" s="19" t="s">
        <v>15</v>
      </c>
      <c r="C62" s="47" t="s">
        <v>169</v>
      </c>
      <c r="D62" s="47" t="s">
        <v>170</v>
      </c>
      <c r="E62" s="47"/>
      <c r="F62" s="39" t="s">
        <v>171</v>
      </c>
      <c r="G62" s="47" t="s">
        <v>172</v>
      </c>
      <c r="H62" s="32"/>
      <c r="I62" s="32"/>
      <c r="J62" s="32"/>
    </row>
    <row r="63" spans="1:10">
      <c r="A63" s="33" t="s">
        <v>173</v>
      </c>
      <c r="B63" s="19" t="s">
        <v>15</v>
      </c>
      <c r="C63" s="47"/>
      <c r="D63" s="47"/>
      <c r="E63" s="47"/>
      <c r="F63" s="39" t="s">
        <v>174</v>
      </c>
      <c r="G63" s="47"/>
      <c r="H63" s="32"/>
      <c r="I63" s="32"/>
      <c r="J63" s="32"/>
    </row>
    <row r="64" spans="1:10">
      <c r="A64" s="33" t="s">
        <v>175</v>
      </c>
      <c r="B64" s="19" t="s">
        <v>15</v>
      </c>
      <c r="C64" s="19" t="s">
        <v>15</v>
      </c>
      <c r="D64" s="19" t="s">
        <v>176</v>
      </c>
      <c r="E64" s="19" t="s">
        <v>15</v>
      </c>
      <c r="F64" s="39"/>
      <c r="G64" s="19" t="s">
        <v>177</v>
      </c>
      <c r="H64" s="32"/>
      <c r="I64" s="32"/>
      <c r="J64" s="32"/>
    </row>
    <row r="65" spans="1:10">
      <c r="A65" s="33" t="s">
        <v>178</v>
      </c>
      <c r="B65" s="19" t="s">
        <v>15</v>
      </c>
      <c r="C65" s="19"/>
      <c r="D65" s="19" t="s">
        <v>179</v>
      </c>
      <c r="E65" s="19"/>
      <c r="F65" s="39"/>
      <c r="G65" s="19" t="s">
        <v>180</v>
      </c>
      <c r="H65" s="32"/>
      <c r="I65" s="32"/>
      <c r="J65" s="32"/>
    </row>
    <row r="66" spans="1:10">
      <c r="A66" s="46" t="s">
        <v>181</v>
      </c>
      <c r="B66" s="19" t="s">
        <v>15</v>
      </c>
      <c r="C66" s="47" t="s">
        <v>15</v>
      </c>
      <c r="D66" s="47" t="s">
        <v>182</v>
      </c>
      <c r="E66" s="47" t="s">
        <v>15</v>
      </c>
      <c r="F66" s="39"/>
      <c r="G66" s="47" t="s">
        <v>183</v>
      </c>
      <c r="H66" s="32"/>
      <c r="I66" s="32"/>
      <c r="J66" s="32"/>
    </row>
    <row r="67" spans="1:10">
      <c r="A67" s="46"/>
      <c r="B67" s="19" t="s">
        <v>15</v>
      </c>
      <c r="C67" s="47"/>
      <c r="D67" s="47"/>
      <c r="E67" s="47"/>
      <c r="F67" s="39"/>
      <c r="G67" s="47"/>
      <c r="H67" s="32"/>
      <c r="I67" s="32"/>
      <c r="J67" s="32"/>
    </row>
    <row r="68" spans="1:10">
      <c r="A68" s="33" t="s">
        <v>184</v>
      </c>
      <c r="B68" s="19" t="s">
        <v>15</v>
      </c>
      <c r="C68" s="19" t="s">
        <v>15</v>
      </c>
      <c r="D68" s="19" t="s">
        <v>185</v>
      </c>
      <c r="E68" s="19" t="s">
        <v>15</v>
      </c>
      <c r="F68" s="39"/>
      <c r="G68" s="19" t="s">
        <v>186</v>
      </c>
      <c r="H68" s="32"/>
      <c r="I68" s="32"/>
      <c r="J68" s="32"/>
    </row>
    <row r="69" spans="1:10">
      <c r="A69" s="33" t="s">
        <v>187</v>
      </c>
      <c r="B69" s="19" t="s">
        <v>15</v>
      </c>
      <c r="C69" s="19" t="s">
        <v>15</v>
      </c>
      <c r="D69" s="19" t="s">
        <v>188</v>
      </c>
      <c r="E69" s="19" t="s">
        <v>15</v>
      </c>
      <c r="F69" s="39" t="s">
        <v>189</v>
      </c>
      <c r="G69" s="19" t="s">
        <v>190</v>
      </c>
      <c r="H69" s="32"/>
      <c r="I69" s="32"/>
      <c r="J69" s="32"/>
    </row>
    <row r="70" spans="1:10">
      <c r="A70" s="33" t="s">
        <v>191</v>
      </c>
      <c r="B70" s="19" t="s">
        <v>15</v>
      </c>
      <c r="C70" s="19" t="s">
        <v>15</v>
      </c>
      <c r="D70" s="19" t="s">
        <v>192</v>
      </c>
      <c r="E70" s="19" t="s">
        <v>15</v>
      </c>
      <c r="F70" s="39" t="s">
        <v>193</v>
      </c>
      <c r="G70" s="19" t="s">
        <v>194</v>
      </c>
      <c r="H70" s="32"/>
      <c r="I70" s="32"/>
      <c r="J70" s="32"/>
    </row>
    <row r="71" spans="1:10">
      <c r="A71" s="36" t="s">
        <v>195</v>
      </c>
      <c r="B71" s="19" t="s">
        <v>15</v>
      </c>
      <c r="C71" s="19" t="s">
        <v>15</v>
      </c>
      <c r="D71" s="19" t="s">
        <v>196</v>
      </c>
      <c r="E71" s="19" t="s">
        <v>15</v>
      </c>
      <c r="F71" s="39" t="s">
        <v>197</v>
      </c>
      <c r="G71" s="19" t="s">
        <v>198</v>
      </c>
      <c r="H71" s="32" t="s">
        <v>199</v>
      </c>
      <c r="I71" s="32"/>
      <c r="J71" s="32"/>
    </row>
    <row r="72" spans="1:10">
      <c r="A72" s="33" t="s">
        <v>200</v>
      </c>
      <c r="B72" s="19" t="s">
        <v>15</v>
      </c>
      <c r="C72" s="19" t="s">
        <v>15</v>
      </c>
      <c r="D72" s="19" t="s">
        <v>201</v>
      </c>
      <c r="E72" s="19" t="s">
        <v>15</v>
      </c>
      <c r="F72" s="39" t="s">
        <v>202</v>
      </c>
      <c r="G72" s="19" t="s">
        <v>203</v>
      </c>
      <c r="H72" s="35" t="s">
        <v>146</v>
      </c>
      <c r="I72" s="32"/>
      <c r="J72" s="32"/>
    </row>
    <row r="73" spans="1:10">
      <c r="A73" s="33" t="s">
        <v>204</v>
      </c>
      <c r="B73" s="19" t="s">
        <v>15</v>
      </c>
      <c r="C73" s="19" t="s">
        <v>15</v>
      </c>
      <c r="D73" s="19" t="s">
        <v>205</v>
      </c>
      <c r="E73" s="19" t="s">
        <v>15</v>
      </c>
      <c r="F73" s="39"/>
      <c r="G73" s="19" t="s">
        <v>206</v>
      </c>
      <c r="H73" s="32"/>
      <c r="I73" s="32"/>
      <c r="J73" s="32"/>
    </row>
    <row r="74" spans="1:10">
      <c r="A74" s="33" t="s">
        <v>207</v>
      </c>
      <c r="B74" s="19" t="s">
        <v>15</v>
      </c>
      <c r="C74" s="19" t="s">
        <v>15</v>
      </c>
      <c r="D74" s="19" t="s">
        <v>208</v>
      </c>
      <c r="E74" s="19" t="s">
        <v>15</v>
      </c>
      <c r="F74" s="39"/>
      <c r="G74" s="19" t="s">
        <v>209</v>
      </c>
      <c r="H74" s="32"/>
      <c r="I74" s="32"/>
      <c r="J74" s="32"/>
    </row>
    <row r="75" spans="1:10">
      <c r="A75" s="33" t="s">
        <v>210</v>
      </c>
      <c r="B75" s="19" t="s">
        <v>15</v>
      </c>
      <c r="C75" s="19" t="s">
        <v>15</v>
      </c>
      <c r="D75" s="19" t="s">
        <v>211</v>
      </c>
      <c r="E75" s="19" t="s">
        <v>15</v>
      </c>
      <c r="F75" s="39"/>
      <c r="G75" s="38" t="s">
        <v>212</v>
      </c>
      <c r="H75" s="32"/>
      <c r="I75" s="32"/>
      <c r="J75" s="32"/>
    </row>
    <row r="76" spans="1:10">
      <c r="A76" s="41" t="s">
        <v>213</v>
      </c>
      <c r="B76" s="42"/>
      <c r="C76" s="42"/>
      <c r="D76" s="42" t="s">
        <v>214</v>
      </c>
      <c r="E76" s="42"/>
      <c r="F76" s="43"/>
      <c r="G76" s="42" t="s">
        <v>215</v>
      </c>
      <c r="H76" s="32"/>
      <c r="I76" s="32"/>
      <c r="J76" s="32"/>
    </row>
    <row r="77" spans="1:10">
      <c r="A77" s="33" t="s">
        <v>216</v>
      </c>
      <c r="B77" s="19" t="s">
        <v>15</v>
      </c>
      <c r="C77" s="19" t="s">
        <v>15</v>
      </c>
      <c r="D77" s="19" t="s">
        <v>217</v>
      </c>
      <c r="E77" s="19" t="s">
        <v>15</v>
      </c>
      <c r="F77" s="39"/>
      <c r="G77" s="19" t="s">
        <v>218</v>
      </c>
      <c r="H77" s="32"/>
      <c r="I77" s="37"/>
      <c r="J77" s="32"/>
    </row>
    <row r="78" spans="1:10">
      <c r="A78" s="33" t="s">
        <v>219</v>
      </c>
      <c r="B78" s="19" t="s">
        <v>220</v>
      </c>
      <c r="C78" s="19" t="s">
        <v>15</v>
      </c>
      <c r="D78" s="19" t="s">
        <v>221</v>
      </c>
      <c r="E78" s="19" t="s">
        <v>15</v>
      </c>
      <c r="F78" s="39"/>
      <c r="G78" s="19" t="s">
        <v>222</v>
      </c>
      <c r="H78" s="32"/>
      <c r="I78" s="37"/>
      <c r="J78" s="32"/>
    </row>
    <row r="79" spans="1:10">
      <c r="A79" s="33" t="s">
        <v>223</v>
      </c>
      <c r="B79" s="19" t="s">
        <v>15</v>
      </c>
      <c r="C79" s="19" t="s">
        <v>15</v>
      </c>
      <c r="D79" s="19" t="s">
        <v>224</v>
      </c>
      <c r="E79" s="19" t="s">
        <v>15</v>
      </c>
      <c r="F79" s="39"/>
      <c r="G79" s="19" t="s">
        <v>225</v>
      </c>
      <c r="H79" s="32"/>
      <c r="I79" s="32"/>
      <c r="J79" s="32"/>
    </row>
    <row r="80" spans="1:10">
      <c r="A80" s="46" t="s">
        <v>226</v>
      </c>
      <c r="B80" s="47" t="s">
        <v>15</v>
      </c>
      <c r="C80" s="47" t="s">
        <v>15</v>
      </c>
      <c r="D80" s="47" t="s">
        <v>227</v>
      </c>
      <c r="E80" s="47" t="s">
        <v>15</v>
      </c>
      <c r="F80" s="39"/>
      <c r="G80" s="47" t="s">
        <v>228</v>
      </c>
      <c r="H80" s="32"/>
      <c r="I80" s="32"/>
      <c r="J80" s="32"/>
    </row>
    <row r="81" spans="1:10">
      <c r="A81" s="46"/>
      <c r="B81" s="47"/>
      <c r="C81" s="47"/>
      <c r="D81" s="47"/>
      <c r="E81" s="47"/>
      <c r="F81" s="39"/>
      <c r="G81" s="47"/>
      <c r="H81" s="32"/>
      <c r="I81" s="32"/>
      <c r="J81" s="32"/>
    </row>
    <row r="82" spans="1:10">
      <c r="A82" s="33" t="s">
        <v>229</v>
      </c>
      <c r="B82" s="19" t="s">
        <v>15</v>
      </c>
      <c r="C82" s="19" t="s">
        <v>230</v>
      </c>
      <c r="D82" s="19" t="s">
        <v>231</v>
      </c>
      <c r="E82" s="19" t="s">
        <v>15</v>
      </c>
      <c r="F82" s="39"/>
      <c r="G82" s="19" t="s">
        <v>232</v>
      </c>
      <c r="H82" s="32"/>
      <c r="I82" s="32"/>
      <c r="J82" s="32"/>
    </row>
    <row r="83" spans="1:10">
      <c r="A83" s="33" t="s">
        <v>233</v>
      </c>
      <c r="B83" s="19" t="s">
        <v>15</v>
      </c>
      <c r="C83" s="19" t="s">
        <v>15</v>
      </c>
      <c r="D83" s="19" t="s">
        <v>234</v>
      </c>
      <c r="E83" s="19" t="s">
        <v>15</v>
      </c>
      <c r="F83" s="39"/>
      <c r="G83" s="19" t="s">
        <v>235</v>
      </c>
      <c r="H83" s="32"/>
      <c r="I83" s="32"/>
      <c r="J83" s="32"/>
    </row>
    <row r="84" spans="1:10">
      <c r="A84" s="33" t="s">
        <v>236</v>
      </c>
      <c r="B84" s="19" t="s">
        <v>15</v>
      </c>
      <c r="C84" s="19" t="s">
        <v>15</v>
      </c>
      <c r="D84" s="19" t="s">
        <v>237</v>
      </c>
      <c r="E84" s="19" t="s">
        <v>15</v>
      </c>
      <c r="F84" s="39" t="s">
        <v>238</v>
      </c>
      <c r="G84" s="19" t="s">
        <v>239</v>
      </c>
      <c r="H84" s="32" t="s">
        <v>240</v>
      </c>
      <c r="I84" s="32" t="s">
        <v>241</v>
      </c>
      <c r="J84" s="32" t="s">
        <v>242</v>
      </c>
    </row>
    <row r="85" spans="1:10">
      <c r="A85" s="33" t="s">
        <v>243</v>
      </c>
      <c r="B85" s="19" t="s">
        <v>15</v>
      </c>
      <c r="C85" s="19" t="s">
        <v>15</v>
      </c>
      <c r="D85" s="19" t="s">
        <v>244</v>
      </c>
      <c r="E85" s="19" t="s">
        <v>15</v>
      </c>
      <c r="F85" s="39"/>
      <c r="G85" s="19" t="s">
        <v>245</v>
      </c>
      <c r="H85" s="32"/>
      <c r="I85" s="32"/>
      <c r="J85" s="32"/>
    </row>
    <row r="86" spans="1:10">
      <c r="A86" s="33" t="s">
        <v>246</v>
      </c>
      <c r="B86" s="19" t="s">
        <v>220</v>
      </c>
      <c r="C86" s="19" t="s">
        <v>15</v>
      </c>
      <c r="D86" s="19" t="s">
        <v>247</v>
      </c>
      <c r="E86" s="19" t="s">
        <v>15</v>
      </c>
      <c r="F86" s="39"/>
      <c r="G86" s="19" t="s">
        <v>248</v>
      </c>
      <c r="H86" s="32"/>
      <c r="I86" s="32"/>
      <c r="J86" s="32"/>
    </row>
    <row r="87" spans="1:10">
      <c r="A87" s="33" t="s">
        <v>249</v>
      </c>
      <c r="B87" s="19" t="s">
        <v>15</v>
      </c>
      <c r="C87" s="47" t="s">
        <v>15</v>
      </c>
      <c r="D87" s="47" t="s">
        <v>250</v>
      </c>
      <c r="E87" s="47" t="s">
        <v>15</v>
      </c>
      <c r="F87" s="39"/>
      <c r="G87" s="47" t="s">
        <v>251</v>
      </c>
      <c r="H87" s="32"/>
      <c r="I87" s="32"/>
      <c r="J87" s="32"/>
    </row>
    <row r="88" spans="1:10">
      <c r="A88" s="33" t="s">
        <v>252</v>
      </c>
      <c r="B88" s="19" t="s">
        <v>15</v>
      </c>
      <c r="C88" s="47"/>
      <c r="D88" s="47"/>
      <c r="E88" s="47"/>
      <c r="F88" s="39"/>
      <c r="G88" s="47"/>
      <c r="H88" s="32"/>
      <c r="I88" s="32"/>
      <c r="J88" s="32"/>
    </row>
    <row r="89" spans="1:10">
      <c r="A89" s="33" t="s">
        <v>253</v>
      </c>
      <c r="B89" s="19" t="s">
        <v>15</v>
      </c>
      <c r="C89" s="19" t="s">
        <v>15</v>
      </c>
      <c r="D89" s="19" t="s">
        <v>254</v>
      </c>
      <c r="E89" s="19" t="s">
        <v>15</v>
      </c>
      <c r="F89" s="39"/>
      <c r="G89" s="19" t="s">
        <v>255</v>
      </c>
      <c r="H89" s="32" t="s">
        <v>256</v>
      </c>
      <c r="I89" s="32"/>
      <c r="J89" s="32"/>
    </row>
    <row r="90" spans="1:10">
      <c r="A90" s="33" t="s">
        <v>257</v>
      </c>
      <c r="B90" s="19" t="s">
        <v>15</v>
      </c>
      <c r="C90" s="47" t="s">
        <v>15</v>
      </c>
      <c r="D90" s="47" t="s">
        <v>258</v>
      </c>
      <c r="E90" s="19" t="s">
        <v>15</v>
      </c>
      <c r="F90" s="39"/>
      <c r="G90" s="47" t="s">
        <v>259</v>
      </c>
      <c r="H90" s="47" t="s">
        <v>260</v>
      </c>
      <c r="I90" s="32"/>
      <c r="J90" s="32"/>
    </row>
    <row r="91" spans="1:10">
      <c r="A91" s="33" t="s">
        <v>261</v>
      </c>
      <c r="B91" s="19" t="s">
        <v>15</v>
      </c>
      <c r="C91" s="47"/>
      <c r="D91" s="47"/>
      <c r="E91" s="19" t="s">
        <v>15</v>
      </c>
      <c r="F91" s="39"/>
      <c r="G91" s="47"/>
      <c r="H91" s="47"/>
      <c r="I91" s="32"/>
      <c r="J91" s="32"/>
    </row>
    <row r="92" spans="1:10">
      <c r="A92" s="33" t="s">
        <v>262</v>
      </c>
      <c r="B92" s="19" t="s">
        <v>15</v>
      </c>
      <c r="C92" s="47" t="s">
        <v>15</v>
      </c>
      <c r="D92" s="47" t="s">
        <v>263</v>
      </c>
      <c r="E92" s="47" t="s">
        <v>14</v>
      </c>
      <c r="F92" s="39" t="s">
        <v>264</v>
      </c>
      <c r="G92" s="47" t="s">
        <v>265</v>
      </c>
      <c r="H92" s="32"/>
      <c r="I92" s="32"/>
      <c r="J92" s="32"/>
    </row>
    <row r="93" spans="1:10">
      <c r="A93" s="33" t="s">
        <v>266</v>
      </c>
      <c r="B93" s="19" t="s">
        <v>15</v>
      </c>
      <c r="C93" s="47"/>
      <c r="D93" s="47"/>
      <c r="E93" s="47"/>
      <c r="F93" s="39" t="s">
        <v>267</v>
      </c>
      <c r="G93" s="47"/>
      <c r="H93" s="32"/>
      <c r="I93" s="32"/>
      <c r="J93" s="32"/>
    </row>
    <row r="94" spans="1:10">
      <c r="A94" s="17"/>
    </row>
    <row r="95" spans="1:10">
      <c r="A95" s="17"/>
    </row>
    <row r="96" spans="1:10">
      <c r="A96" s="17"/>
    </row>
    <row r="97" spans="1:1">
      <c r="A97" s="17"/>
    </row>
    <row r="98" spans="1:1">
      <c r="A98" s="17"/>
    </row>
    <row r="99" spans="1:1">
      <c r="A99" s="17"/>
    </row>
    <row r="100" spans="1:1">
      <c r="A100" s="17"/>
    </row>
    <row r="101" spans="1:1">
      <c r="A101" s="17"/>
    </row>
    <row r="102" spans="1:1">
      <c r="A102" s="17"/>
    </row>
    <row r="103" spans="1:1">
      <c r="A103" s="17"/>
    </row>
    <row r="104" spans="1:1">
      <c r="A104" s="17"/>
    </row>
    <row r="105" spans="1:1">
      <c r="A105" s="17"/>
    </row>
    <row r="106" spans="1:1">
      <c r="A106" s="17"/>
    </row>
    <row r="107" spans="1:1">
      <c r="A107" s="17"/>
    </row>
    <row r="108" spans="1:1">
      <c r="A108" s="17"/>
    </row>
    <row r="109" spans="1:1">
      <c r="A109" s="17"/>
    </row>
    <row r="110" spans="1:1">
      <c r="A110" s="17"/>
    </row>
    <row r="111" spans="1:1">
      <c r="A111" s="17"/>
    </row>
    <row r="112" spans="1:1">
      <c r="A112" s="17"/>
    </row>
    <row r="113" spans="1:1">
      <c r="A113" s="17"/>
    </row>
    <row r="114" spans="1:1">
      <c r="A114" s="17"/>
    </row>
  </sheetData>
  <mergeCells count="79">
    <mergeCell ref="D92:D93"/>
    <mergeCell ref="E92:E93"/>
    <mergeCell ref="G8:G9"/>
    <mergeCell ref="G4:G5"/>
    <mergeCell ref="H90:H91"/>
    <mergeCell ref="G55:G57"/>
    <mergeCell ref="G66:G67"/>
    <mergeCell ref="G92:G93"/>
    <mergeCell ref="E38:E39"/>
    <mergeCell ref="G87:G88"/>
    <mergeCell ref="G90:G91"/>
    <mergeCell ref="E87:E88"/>
    <mergeCell ref="G80:G81"/>
    <mergeCell ref="E8:E9"/>
    <mergeCell ref="G29:G30"/>
    <mergeCell ref="G18:G19"/>
    <mergeCell ref="C92:C93"/>
    <mergeCell ref="A55:A57"/>
    <mergeCell ref="B55:B57"/>
    <mergeCell ref="C55:C57"/>
    <mergeCell ref="E55:E57"/>
    <mergeCell ref="D55:D57"/>
    <mergeCell ref="A80:A81"/>
    <mergeCell ref="B80:B81"/>
    <mergeCell ref="A58:A60"/>
    <mergeCell ref="A66:A67"/>
    <mergeCell ref="C62:C63"/>
    <mergeCell ref="E62:E63"/>
    <mergeCell ref="D87:D88"/>
    <mergeCell ref="C87:C88"/>
    <mergeCell ref="D90:D91"/>
    <mergeCell ref="C90:C91"/>
    <mergeCell ref="C80:C81"/>
    <mergeCell ref="D80:D81"/>
    <mergeCell ref="E80:E81"/>
    <mergeCell ref="D58:D60"/>
    <mergeCell ref="G58:G60"/>
    <mergeCell ref="C58:C60"/>
    <mergeCell ref="G62:G63"/>
    <mergeCell ref="C66:C67"/>
    <mergeCell ref="E66:E67"/>
    <mergeCell ref="D62:D63"/>
    <mergeCell ref="D66:D67"/>
    <mergeCell ref="A38:A39"/>
    <mergeCell ref="D38:D39"/>
    <mergeCell ref="A43:A44"/>
    <mergeCell ref="C43:C44"/>
    <mergeCell ref="D43:D44"/>
    <mergeCell ref="C38:C39"/>
    <mergeCell ref="C41:C42"/>
    <mergeCell ref="A36:A37"/>
    <mergeCell ref="B36:B37"/>
    <mergeCell ref="C36:C37"/>
    <mergeCell ref="D36:D37"/>
    <mergeCell ref="E36:E37"/>
    <mergeCell ref="C29:C30"/>
    <mergeCell ref="D29:D30"/>
    <mergeCell ref="E29:E30"/>
    <mergeCell ref="A22:A23"/>
    <mergeCell ref="C22:C23"/>
    <mergeCell ref="D22:D23"/>
    <mergeCell ref="E22:E23"/>
    <mergeCell ref="A29:A30"/>
    <mergeCell ref="E43:E44"/>
    <mergeCell ref="G22:G23"/>
    <mergeCell ref="G38:G39"/>
    <mergeCell ref="G43:G44"/>
    <mergeCell ref="G36:G37"/>
    <mergeCell ref="A4:A5"/>
    <mergeCell ref="C4:C5"/>
    <mergeCell ref="D4:D5"/>
    <mergeCell ref="E4:E5"/>
    <mergeCell ref="A18:A19"/>
    <mergeCell ref="C18:C19"/>
    <mergeCell ref="D18:D19"/>
    <mergeCell ref="E18:E19"/>
    <mergeCell ref="A8:A9"/>
    <mergeCell ref="C8:C9"/>
    <mergeCell ref="D8:D9"/>
  </mergeCells>
  <phoneticPr fontId="1" type="noConversion"/>
  <conditionalFormatting sqref="D1:D1048576">
    <cfRule type="duplicateValues" dxfId="59" priority="1"/>
  </conditionalFormatting>
  <hyperlinks>
    <hyperlink ref="H55" r:id="rId1" xr:uid="{64E7F3C1-E2E5-4CE1-82CD-AACBAB3DA62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ED87-F34A-4228-9605-4395311DBC4D}">
  <dimension ref="B2:I17"/>
  <sheetViews>
    <sheetView workbookViewId="0">
      <selection activeCell="J6" sqref="J6"/>
    </sheetView>
  </sheetViews>
  <sheetFormatPr defaultRowHeight="16.5"/>
  <cols>
    <col min="6" max="6" width="9" customWidth="1"/>
  </cols>
  <sheetData>
    <row r="2" spans="2:9">
      <c r="B2" t="s">
        <v>268</v>
      </c>
      <c r="C2" s="1" t="s">
        <v>269</v>
      </c>
      <c r="D2" s="1" t="s">
        <v>270</v>
      </c>
      <c r="E2" s="1">
        <v>2019</v>
      </c>
      <c r="F2" s="1">
        <v>2020</v>
      </c>
      <c r="G2">
        <v>2021</v>
      </c>
      <c r="H2">
        <v>2022</v>
      </c>
      <c r="I2" s="1">
        <v>2023</v>
      </c>
    </row>
    <row r="3" spans="2:9">
      <c r="B3" t="s">
        <v>271</v>
      </c>
      <c r="G3">
        <v>1</v>
      </c>
      <c r="H3">
        <v>0</v>
      </c>
    </row>
    <row r="4" spans="2:9">
      <c r="B4" t="s">
        <v>272</v>
      </c>
      <c r="C4">
        <v>0</v>
      </c>
      <c r="D4">
        <v>1</v>
      </c>
      <c r="E4">
        <v>0</v>
      </c>
      <c r="F4">
        <v>0</v>
      </c>
      <c r="G4">
        <v>2</v>
      </c>
      <c r="H4">
        <v>0</v>
      </c>
    </row>
    <row r="5" spans="2:9">
      <c r="B5" t="s">
        <v>273</v>
      </c>
      <c r="C5">
        <v>0</v>
      </c>
      <c r="D5">
        <v>2</v>
      </c>
      <c r="E5">
        <v>0</v>
      </c>
      <c r="F5">
        <v>1</v>
      </c>
      <c r="G5">
        <v>3</v>
      </c>
      <c r="H5">
        <v>2</v>
      </c>
    </row>
    <row r="6" spans="2:9">
      <c r="B6" t="s">
        <v>274</v>
      </c>
      <c r="C6">
        <v>0</v>
      </c>
      <c r="D6">
        <v>5</v>
      </c>
      <c r="E6">
        <v>0</v>
      </c>
      <c r="F6">
        <v>1</v>
      </c>
      <c r="G6">
        <v>4</v>
      </c>
      <c r="H6">
        <v>4</v>
      </c>
    </row>
    <row r="7" spans="2:9">
      <c r="B7" t="s">
        <v>275</v>
      </c>
      <c r="C7">
        <v>0</v>
      </c>
      <c r="D7">
        <v>6</v>
      </c>
      <c r="E7">
        <v>1</v>
      </c>
      <c r="F7">
        <v>7</v>
      </c>
      <c r="G7">
        <v>8</v>
      </c>
      <c r="H7">
        <v>4</v>
      </c>
    </row>
    <row r="8" spans="2:9">
      <c r="B8" t="s">
        <v>276</v>
      </c>
      <c r="C8">
        <v>0</v>
      </c>
      <c r="D8">
        <v>6</v>
      </c>
      <c r="E8">
        <v>5</v>
      </c>
      <c r="F8">
        <v>7</v>
      </c>
      <c r="G8">
        <v>8</v>
      </c>
      <c r="H8">
        <v>5</v>
      </c>
    </row>
    <row r="9" spans="2:9">
      <c r="B9" t="s">
        <v>277</v>
      </c>
      <c r="C9">
        <v>0</v>
      </c>
      <c r="D9">
        <v>6</v>
      </c>
      <c r="E9">
        <v>10</v>
      </c>
      <c r="F9">
        <v>10</v>
      </c>
      <c r="G9">
        <v>8</v>
      </c>
      <c r="H9">
        <v>5</v>
      </c>
    </row>
    <row r="10" spans="2:9">
      <c r="B10" t="s">
        <v>278</v>
      </c>
      <c r="C10">
        <v>0</v>
      </c>
      <c r="D10">
        <v>6</v>
      </c>
      <c r="E10">
        <v>11</v>
      </c>
      <c r="F10">
        <v>15</v>
      </c>
      <c r="G10">
        <v>8</v>
      </c>
      <c r="H10">
        <v>11</v>
      </c>
    </row>
    <row r="11" spans="2:9">
      <c r="B11" t="s">
        <v>279</v>
      </c>
      <c r="C11">
        <v>0</v>
      </c>
      <c r="D11">
        <v>8</v>
      </c>
      <c r="E11">
        <v>12</v>
      </c>
      <c r="F11">
        <v>27</v>
      </c>
      <c r="G11">
        <v>15</v>
      </c>
      <c r="H11">
        <v>12</v>
      </c>
    </row>
    <row r="12" spans="2:9">
      <c r="B12" t="s">
        <v>280</v>
      </c>
      <c r="C12">
        <v>1</v>
      </c>
      <c r="D12">
        <v>9</v>
      </c>
      <c r="E12">
        <v>15</v>
      </c>
      <c r="F12" s="2">
        <v>28</v>
      </c>
      <c r="G12">
        <v>17</v>
      </c>
      <c r="H12">
        <v>15</v>
      </c>
    </row>
    <row r="13" spans="2:9">
      <c r="B13" t="s">
        <v>281</v>
      </c>
      <c r="C13">
        <v>3</v>
      </c>
      <c r="D13">
        <v>10</v>
      </c>
      <c r="E13">
        <v>17</v>
      </c>
      <c r="F13">
        <v>28</v>
      </c>
      <c r="G13">
        <v>17</v>
      </c>
      <c r="H13">
        <v>20</v>
      </c>
    </row>
    <row r="14" spans="2:9">
      <c r="B14" t="s">
        <v>282</v>
      </c>
      <c r="C14">
        <v>15</v>
      </c>
      <c r="D14">
        <v>15</v>
      </c>
      <c r="E14">
        <v>18</v>
      </c>
      <c r="F14">
        <v>28</v>
      </c>
      <c r="G14">
        <v>19</v>
      </c>
      <c r="H14">
        <v>26</v>
      </c>
    </row>
    <row r="15" spans="2:9">
      <c r="B15" t="s">
        <v>283</v>
      </c>
      <c r="C15">
        <v>16</v>
      </c>
      <c r="D15">
        <v>16</v>
      </c>
      <c r="E15">
        <v>23</v>
      </c>
      <c r="F15">
        <v>32</v>
      </c>
      <c r="G15">
        <v>27</v>
      </c>
      <c r="H15">
        <v>40</v>
      </c>
    </row>
    <row r="16" spans="2:9">
      <c r="B16" t="s">
        <v>284</v>
      </c>
      <c r="C16">
        <v>16</v>
      </c>
      <c r="D16">
        <v>22</v>
      </c>
      <c r="E16">
        <v>33</v>
      </c>
      <c r="F16">
        <v>40</v>
      </c>
      <c r="G16">
        <v>45</v>
      </c>
      <c r="H16">
        <v>49</v>
      </c>
    </row>
    <row r="17" spans="2:7">
      <c r="B17" t="s">
        <v>285</v>
      </c>
      <c r="G17">
        <v>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65F7-0129-4DE4-AC28-9C6B005D4E8E}">
  <dimension ref="A1:K25"/>
  <sheetViews>
    <sheetView zoomScaleNormal="100" workbookViewId="0">
      <selection activeCell="J21" sqref="J21"/>
    </sheetView>
  </sheetViews>
  <sheetFormatPr defaultColWidth="9" defaultRowHeight="15.75"/>
  <cols>
    <col min="1" max="1" width="10.25" style="16" customWidth="1"/>
    <col min="2" max="2" width="10.25" style="5" bestFit="1" customWidth="1"/>
    <col min="3" max="3" width="9" style="5"/>
    <col min="4" max="4" width="11.875" style="5" customWidth="1"/>
    <col min="5" max="5" width="11.875" style="5" bestFit="1" customWidth="1"/>
    <col min="6" max="8" width="11.875" style="5" customWidth="1"/>
    <col min="9" max="10" width="11.875" style="5" bestFit="1" customWidth="1"/>
    <col min="11" max="16384" width="9" style="5"/>
  </cols>
  <sheetData>
    <row r="1" spans="1:11" ht="16.5">
      <c r="A1" s="15" t="s">
        <v>0</v>
      </c>
      <c r="B1" s="6" t="s">
        <v>286</v>
      </c>
      <c r="C1" s="7" t="s">
        <v>287</v>
      </c>
      <c r="D1" s="7" t="s">
        <v>288</v>
      </c>
      <c r="E1" s="7" t="s">
        <v>289</v>
      </c>
      <c r="F1" s="7" t="s">
        <v>290</v>
      </c>
      <c r="G1" s="7" t="s">
        <v>291</v>
      </c>
      <c r="H1" s="9" t="s">
        <v>292</v>
      </c>
      <c r="I1" s="9" t="s">
        <v>293</v>
      </c>
      <c r="J1" s="5" t="s">
        <v>294</v>
      </c>
      <c r="K1" s="5" t="s">
        <v>295</v>
      </c>
    </row>
    <row r="2" spans="1:11">
      <c r="A2" s="14">
        <v>18</v>
      </c>
      <c r="C2" s="5">
        <v>0</v>
      </c>
      <c r="D2" s="5">
        <v>0</v>
      </c>
      <c r="E2" s="5">
        <v>0</v>
      </c>
      <c r="G2" s="5">
        <v>0</v>
      </c>
      <c r="H2" s="9">
        <v>0</v>
      </c>
      <c r="I2" s="9">
        <v>0</v>
      </c>
      <c r="K2" s="5">
        <v>0</v>
      </c>
    </row>
    <row r="3" spans="1:11">
      <c r="A3" s="14">
        <v>17</v>
      </c>
      <c r="C3" s="5">
        <v>1</v>
      </c>
      <c r="D3" s="5">
        <v>234</v>
      </c>
      <c r="E3" s="5">
        <v>1612</v>
      </c>
      <c r="G3" s="5">
        <v>8520</v>
      </c>
      <c r="H3" s="9">
        <v>452</v>
      </c>
      <c r="I3" s="9">
        <v>1612</v>
      </c>
    </row>
    <row r="4" spans="1:11">
      <c r="A4" s="14">
        <v>16</v>
      </c>
      <c r="C4" s="5">
        <v>2</v>
      </c>
      <c r="D4" s="5">
        <v>1147</v>
      </c>
      <c r="E4" s="5">
        <v>4147</v>
      </c>
      <c r="G4" s="5">
        <v>15321</v>
      </c>
      <c r="H4" s="9">
        <v>1878</v>
      </c>
      <c r="I4" s="9">
        <v>5706</v>
      </c>
      <c r="K4" s="5">
        <v>27348</v>
      </c>
    </row>
    <row r="5" spans="1:11">
      <c r="A5" s="14">
        <v>15</v>
      </c>
      <c r="C5" s="5">
        <v>3</v>
      </c>
      <c r="D5" s="5">
        <v>2719</v>
      </c>
      <c r="E5" s="5">
        <v>7203</v>
      </c>
      <c r="H5" s="9">
        <v>4606</v>
      </c>
      <c r="I5" s="9">
        <v>10248</v>
      </c>
    </row>
    <row r="6" spans="1:11">
      <c r="A6" s="14">
        <v>14</v>
      </c>
      <c r="C6" s="5">
        <v>4</v>
      </c>
      <c r="D6" s="5">
        <v>4300</v>
      </c>
      <c r="E6" s="5">
        <v>11123</v>
      </c>
      <c r="H6" s="9">
        <v>7119</v>
      </c>
      <c r="I6" s="9">
        <v>15633</v>
      </c>
    </row>
    <row r="7" spans="1:11">
      <c r="A7" s="14">
        <v>13</v>
      </c>
      <c r="C7" s="5">
        <v>5</v>
      </c>
      <c r="D7" s="5">
        <v>5495</v>
      </c>
      <c r="E7" s="5">
        <v>13311</v>
      </c>
      <c r="H7" s="9">
        <v>9314</v>
      </c>
      <c r="I7" s="9">
        <v>18374</v>
      </c>
    </row>
    <row r="8" spans="1:11">
      <c r="A8" s="14">
        <v>12</v>
      </c>
      <c r="C8" s="5">
        <v>6</v>
      </c>
      <c r="D8" s="5">
        <v>5802</v>
      </c>
      <c r="E8" s="5">
        <v>14185</v>
      </c>
      <c r="H8" s="9">
        <v>9928</v>
      </c>
      <c r="I8" s="9">
        <v>19625</v>
      </c>
    </row>
    <row r="9" spans="1:11">
      <c r="A9" s="14">
        <v>11</v>
      </c>
      <c r="B9" s="13"/>
      <c r="C9" s="5">
        <v>7</v>
      </c>
      <c r="D9" s="5">
        <v>6114</v>
      </c>
      <c r="E9" s="5">
        <v>15260</v>
      </c>
      <c r="F9" s="5">
        <v>0</v>
      </c>
      <c r="H9" s="9">
        <v>10465</v>
      </c>
      <c r="I9" s="9">
        <v>20984</v>
      </c>
      <c r="J9" s="5">
        <v>0</v>
      </c>
    </row>
    <row r="10" spans="1:11">
      <c r="A10" s="14">
        <v>10</v>
      </c>
      <c r="B10" s="8"/>
      <c r="C10" s="5">
        <v>8</v>
      </c>
      <c r="D10" s="5">
        <v>6916</v>
      </c>
      <c r="E10" s="5">
        <v>17641</v>
      </c>
      <c r="F10" s="5">
        <v>6663</v>
      </c>
      <c r="H10" s="9">
        <v>11817</v>
      </c>
      <c r="I10" s="9">
        <v>23968</v>
      </c>
      <c r="J10" s="5">
        <v>9570</v>
      </c>
    </row>
    <row r="11" spans="1:11">
      <c r="A11" s="14">
        <v>9</v>
      </c>
      <c r="B11" s="8"/>
      <c r="C11" s="5">
        <v>9</v>
      </c>
      <c r="D11" s="5">
        <v>7608</v>
      </c>
      <c r="E11" s="5">
        <v>20432</v>
      </c>
      <c r="F11" s="5">
        <v>13588</v>
      </c>
      <c r="H11" s="9">
        <v>12906</v>
      </c>
      <c r="I11" s="9">
        <v>27566</v>
      </c>
      <c r="J11" s="5">
        <v>18441</v>
      </c>
    </row>
    <row r="12" spans="1:11">
      <c r="A12" s="14">
        <v>8</v>
      </c>
      <c r="B12" s="8"/>
      <c r="C12" s="5">
        <v>10</v>
      </c>
      <c r="D12" s="5">
        <v>8132</v>
      </c>
      <c r="E12" s="5">
        <v>23660</v>
      </c>
      <c r="F12" s="5">
        <v>16514</v>
      </c>
      <c r="H12" s="9">
        <v>14002</v>
      </c>
      <c r="I12" s="9">
        <v>31753</v>
      </c>
      <c r="J12" s="5">
        <v>23313</v>
      </c>
    </row>
    <row r="13" spans="1:11">
      <c r="A13" s="14">
        <v>7</v>
      </c>
      <c r="B13" s="8"/>
      <c r="C13" s="5">
        <v>11</v>
      </c>
      <c r="D13" s="5">
        <v>8765</v>
      </c>
      <c r="E13" s="5">
        <v>26573</v>
      </c>
      <c r="F13" s="5">
        <v>22306</v>
      </c>
      <c r="H13" s="9">
        <v>15054</v>
      </c>
      <c r="I13" s="9">
        <v>35650</v>
      </c>
      <c r="J13" s="5">
        <v>28889</v>
      </c>
    </row>
    <row r="14" spans="1:11">
      <c r="A14" s="14">
        <v>6</v>
      </c>
      <c r="B14" s="8"/>
      <c r="C14" s="5">
        <v>12</v>
      </c>
      <c r="D14" s="5">
        <v>9216</v>
      </c>
      <c r="E14" s="5">
        <v>29146</v>
      </c>
      <c r="F14" s="5">
        <v>24741</v>
      </c>
      <c r="H14" s="9">
        <v>15675</v>
      </c>
      <c r="I14" s="9">
        <v>38679</v>
      </c>
      <c r="J14" s="5">
        <v>32754</v>
      </c>
    </row>
    <row r="15" spans="1:11">
      <c r="A15" s="14">
        <v>5</v>
      </c>
      <c r="B15" s="8"/>
      <c r="C15" s="5">
        <v>13</v>
      </c>
      <c r="D15" s="5">
        <v>9423</v>
      </c>
      <c r="E15" s="5">
        <v>30872</v>
      </c>
      <c r="F15" s="5">
        <v>25441</v>
      </c>
      <c r="H15" s="9">
        <v>15983</v>
      </c>
      <c r="I15" s="9">
        <v>40853</v>
      </c>
      <c r="J15" s="5">
        <v>35167</v>
      </c>
    </row>
    <row r="16" spans="1:11">
      <c r="A16" s="14">
        <v>4</v>
      </c>
      <c r="B16" s="8"/>
      <c r="C16" s="5">
        <v>14</v>
      </c>
      <c r="D16" s="5">
        <v>9551</v>
      </c>
      <c r="E16" s="5">
        <v>33513</v>
      </c>
      <c r="F16" s="5">
        <v>27151</v>
      </c>
      <c r="H16" s="9">
        <v>16210</v>
      </c>
      <c r="I16" s="9">
        <v>43892</v>
      </c>
      <c r="J16" s="5">
        <v>37595</v>
      </c>
    </row>
    <row r="17" spans="1:10">
      <c r="A17" s="14">
        <v>3</v>
      </c>
      <c r="B17" s="8"/>
      <c r="C17" s="5">
        <v>15</v>
      </c>
      <c r="D17" s="5">
        <v>10032</v>
      </c>
      <c r="E17" s="5">
        <v>37748</v>
      </c>
      <c r="F17" s="5">
        <v>30852</v>
      </c>
      <c r="H17" s="9">
        <v>16959</v>
      </c>
      <c r="I17" s="9">
        <v>49427</v>
      </c>
      <c r="J17" s="5">
        <v>43147</v>
      </c>
    </row>
    <row r="18" spans="1:10">
      <c r="A18" s="14">
        <v>2</v>
      </c>
      <c r="B18" s="8"/>
      <c r="C18" s="5">
        <v>16</v>
      </c>
      <c r="D18" s="5">
        <v>10384</v>
      </c>
      <c r="E18" s="5">
        <v>41588</v>
      </c>
      <c r="F18" s="5">
        <v>34846</v>
      </c>
      <c r="H18" s="9">
        <v>17454</v>
      </c>
      <c r="I18" s="9">
        <v>54872</v>
      </c>
      <c r="J18" s="5">
        <v>48047</v>
      </c>
    </row>
    <row r="19" spans="1:10">
      <c r="A19" s="14">
        <v>1</v>
      </c>
      <c r="B19" s="8"/>
      <c r="C19" s="5">
        <v>17</v>
      </c>
      <c r="D19" s="5">
        <v>11192</v>
      </c>
      <c r="E19" s="5">
        <v>47199</v>
      </c>
      <c r="F19" s="5">
        <v>36791</v>
      </c>
      <c r="H19" s="9">
        <v>18507</v>
      </c>
      <c r="I19" s="9">
        <v>61556</v>
      </c>
      <c r="J19" s="5">
        <v>51057</v>
      </c>
    </row>
    <row r="20" spans="1:10">
      <c r="A20" s="14">
        <v>0</v>
      </c>
      <c r="B20" s="8"/>
      <c r="C20" s="5">
        <v>18</v>
      </c>
      <c r="D20" s="5">
        <v>12198</v>
      </c>
      <c r="E20" s="5">
        <v>53016</v>
      </c>
      <c r="F20" s="5">
        <v>45195</v>
      </c>
      <c r="H20" s="9">
        <v>19907</v>
      </c>
      <c r="I20" s="9">
        <v>68620</v>
      </c>
      <c r="J20" s="5">
        <v>61713</v>
      </c>
    </row>
    <row r="21" spans="1:10">
      <c r="A21" s="5"/>
      <c r="B21" s="8"/>
      <c r="D21" s="5">
        <v>12847</v>
      </c>
      <c r="E21" s="5">
        <v>57712</v>
      </c>
      <c r="F21" s="5">
        <v>50293</v>
      </c>
      <c r="H21" s="9">
        <v>20818</v>
      </c>
      <c r="I21" s="9">
        <v>74243</v>
      </c>
      <c r="J21" s="5">
        <v>68289</v>
      </c>
    </row>
    <row r="22" spans="1:10">
      <c r="A22" s="5"/>
      <c r="B22" s="8"/>
      <c r="D22" s="5">
        <v>13057</v>
      </c>
      <c r="E22" s="5">
        <v>61753</v>
      </c>
      <c r="H22" s="9">
        <v>21121</v>
      </c>
      <c r="I22" s="9">
        <v>78817</v>
      </c>
    </row>
    <row r="23" spans="1:10">
      <c r="A23" s="5"/>
      <c r="B23" s="8"/>
      <c r="D23" s="5">
        <v>13267</v>
      </c>
      <c r="E23" s="5">
        <v>86950</v>
      </c>
      <c r="H23" s="9">
        <v>21379</v>
      </c>
      <c r="I23" s="9">
        <v>106797</v>
      </c>
    </row>
    <row r="24" spans="1:10">
      <c r="A24" s="5"/>
      <c r="D24" s="5">
        <v>14131</v>
      </c>
      <c r="H24" s="9">
        <v>22528</v>
      </c>
      <c r="I24" s="9"/>
    </row>
    <row r="25" spans="1:10">
      <c r="A25" s="5"/>
      <c r="D25" s="5">
        <v>15150</v>
      </c>
      <c r="H25" s="9">
        <v>24165</v>
      </c>
      <c r="I25" s="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9289-2096-48C3-BEE0-B89CAFFC7B09}">
  <dimension ref="A1:T204"/>
  <sheetViews>
    <sheetView tabSelected="1" topLeftCell="J1" workbookViewId="0">
      <selection activeCell="V14" sqref="V14"/>
    </sheetView>
  </sheetViews>
  <sheetFormatPr defaultRowHeight="16.5"/>
  <cols>
    <col min="1" max="1" width="0" hidden="1" customWidth="1"/>
    <col min="2" max="2" width="3.5" bestFit="1" customWidth="1"/>
    <col min="3" max="3" width="55.75" bestFit="1" customWidth="1"/>
    <col min="10" max="10" width="55.25" bestFit="1" customWidth="1"/>
  </cols>
  <sheetData>
    <row r="1" spans="1:20">
      <c r="A1" t="s">
        <v>296</v>
      </c>
      <c r="C1" t="s">
        <v>297</v>
      </c>
      <c r="D1" t="s">
        <v>298</v>
      </c>
      <c r="I1" t="s">
        <v>299</v>
      </c>
      <c r="J1" t="s">
        <v>300</v>
      </c>
      <c r="L1" s="51"/>
      <c r="M1" s="29" t="s">
        <v>301</v>
      </c>
      <c r="N1" s="48" t="s">
        <v>302</v>
      </c>
      <c r="O1" s="49"/>
      <c r="P1" s="50"/>
    </row>
    <row r="2" spans="1:20">
      <c r="A2">
        <v>2017</v>
      </c>
      <c r="C2" t="s">
        <v>303</v>
      </c>
      <c r="D2" t="s">
        <v>304</v>
      </c>
      <c r="I2">
        <v>1</v>
      </c>
      <c r="J2" t="s">
        <v>303</v>
      </c>
      <c r="L2" s="52"/>
      <c r="M2" s="30" t="s">
        <v>305</v>
      </c>
      <c r="N2" s="31" t="s">
        <v>306</v>
      </c>
      <c r="O2" s="31" t="s">
        <v>307</v>
      </c>
      <c r="P2" s="31" t="s">
        <v>308</v>
      </c>
    </row>
    <row r="3" spans="1:20">
      <c r="A3">
        <v>2017</v>
      </c>
      <c r="C3" t="s">
        <v>309</v>
      </c>
      <c r="D3" t="s">
        <v>304</v>
      </c>
      <c r="I3">
        <v>2</v>
      </c>
      <c r="J3" t="s">
        <v>309</v>
      </c>
      <c r="L3" s="28" t="s">
        <v>310</v>
      </c>
      <c r="M3" s="30">
        <v>72</v>
      </c>
      <c r="N3" s="31" t="s">
        <v>311</v>
      </c>
      <c r="O3" s="31" t="s">
        <v>312</v>
      </c>
      <c r="P3" s="31" t="s">
        <v>313</v>
      </c>
      <c r="Q3">
        <v>60</v>
      </c>
      <c r="R3" s="53">
        <f>Q3/$Q$8</f>
        <v>0.65934065934065933</v>
      </c>
      <c r="S3">
        <v>43</v>
      </c>
      <c r="T3" s="53">
        <f>S3/$S$8</f>
        <v>0.68253968253968256</v>
      </c>
    </row>
    <row r="4" spans="1:20">
      <c r="A4">
        <v>2017</v>
      </c>
      <c r="C4" t="s">
        <v>314</v>
      </c>
      <c r="D4" t="s">
        <v>304</v>
      </c>
      <c r="I4">
        <v>3</v>
      </c>
      <c r="J4" t="s">
        <v>314</v>
      </c>
      <c r="L4" s="28" t="s">
        <v>315</v>
      </c>
      <c r="M4" s="30">
        <v>4</v>
      </c>
      <c r="N4" s="31" t="s">
        <v>316</v>
      </c>
      <c r="O4" s="31" t="s">
        <v>317</v>
      </c>
      <c r="P4" s="31" t="s">
        <v>318</v>
      </c>
      <c r="Q4">
        <v>9</v>
      </c>
      <c r="R4" s="53">
        <f t="shared" ref="R4:R6" si="0">Q4/$Q$8</f>
        <v>9.8901098901098897E-2</v>
      </c>
      <c r="S4">
        <v>6</v>
      </c>
      <c r="T4" s="53">
        <f t="shared" ref="T4:T6" si="1">S4/$S$8</f>
        <v>9.5238095238095233E-2</v>
      </c>
    </row>
    <row r="5" spans="1:20">
      <c r="A5">
        <v>2017</v>
      </c>
      <c r="C5" t="s">
        <v>319</v>
      </c>
      <c r="D5" t="s">
        <v>304</v>
      </c>
      <c r="I5">
        <v>4</v>
      </c>
      <c r="J5" t="s">
        <v>319</v>
      </c>
      <c r="L5" s="28" t="s">
        <v>320</v>
      </c>
      <c r="M5" s="30">
        <v>6</v>
      </c>
      <c r="N5" s="31"/>
      <c r="O5" s="31" t="s">
        <v>321</v>
      </c>
      <c r="P5" s="31" t="s">
        <v>321</v>
      </c>
      <c r="Q5">
        <v>1</v>
      </c>
      <c r="R5" s="53">
        <f t="shared" si="0"/>
        <v>1.098901098901099E-2</v>
      </c>
      <c r="S5">
        <v>1</v>
      </c>
      <c r="T5" s="53">
        <f t="shared" si="1"/>
        <v>1.5873015873015872E-2</v>
      </c>
    </row>
    <row r="6" spans="1:20">
      <c r="A6">
        <v>2017</v>
      </c>
      <c r="C6" t="s">
        <v>322</v>
      </c>
      <c r="D6" t="s">
        <v>304</v>
      </c>
      <c r="I6">
        <v>5</v>
      </c>
      <c r="J6" t="s">
        <v>322</v>
      </c>
      <c r="L6" s="28" t="s">
        <v>323</v>
      </c>
      <c r="M6" s="30">
        <v>1</v>
      </c>
      <c r="N6" s="31"/>
      <c r="O6" s="31" t="s">
        <v>324</v>
      </c>
      <c r="P6" s="31" t="s">
        <v>324</v>
      </c>
      <c r="Q6">
        <v>21</v>
      </c>
      <c r="R6" s="53">
        <f t="shared" si="0"/>
        <v>0.23076923076923078</v>
      </c>
      <c r="S6">
        <v>13</v>
      </c>
      <c r="T6" s="53">
        <f t="shared" si="1"/>
        <v>0.20634920634920634</v>
      </c>
    </row>
    <row r="7" spans="1:20">
      <c r="A7">
        <v>2017</v>
      </c>
      <c r="C7" t="s">
        <v>325</v>
      </c>
      <c r="D7" t="s">
        <v>304</v>
      </c>
      <c r="I7">
        <v>6</v>
      </c>
      <c r="J7" t="s">
        <v>325</v>
      </c>
      <c r="L7" s="28" t="s">
        <v>326</v>
      </c>
      <c r="M7" s="30"/>
      <c r="N7" s="31"/>
      <c r="O7" s="31"/>
      <c r="P7" s="31">
        <v>0</v>
      </c>
    </row>
    <row r="8" spans="1:20">
      <c r="A8">
        <v>2017</v>
      </c>
      <c r="C8" t="s">
        <v>327</v>
      </c>
      <c r="D8" t="s">
        <v>304</v>
      </c>
      <c r="I8">
        <v>7</v>
      </c>
      <c r="J8" t="s">
        <v>327</v>
      </c>
      <c r="L8" s="28" t="s">
        <v>308</v>
      </c>
      <c r="M8" s="30">
        <v>83</v>
      </c>
      <c r="N8" s="31" t="s">
        <v>328</v>
      </c>
      <c r="O8" s="31" t="s">
        <v>329</v>
      </c>
      <c r="P8" s="31" t="s">
        <v>330</v>
      </c>
      <c r="Q8">
        <f>SUM(Q3:Q7)</f>
        <v>91</v>
      </c>
      <c r="S8">
        <f>SUM(S3:S7)</f>
        <v>63</v>
      </c>
      <c r="T8" s="54">
        <f>SUM(T3:T7)</f>
        <v>1</v>
      </c>
    </row>
    <row r="9" spans="1:20">
      <c r="A9">
        <v>2017</v>
      </c>
      <c r="C9" t="s">
        <v>331</v>
      </c>
      <c r="D9" t="s">
        <v>304</v>
      </c>
      <c r="I9">
        <v>8</v>
      </c>
      <c r="J9" t="s">
        <v>331</v>
      </c>
    </row>
    <row r="10" spans="1:20">
      <c r="A10">
        <v>2018</v>
      </c>
      <c r="C10" t="s">
        <v>332</v>
      </c>
      <c r="D10" t="s">
        <v>304</v>
      </c>
      <c r="I10">
        <v>9</v>
      </c>
      <c r="J10" t="s">
        <v>332</v>
      </c>
    </row>
    <row r="11" spans="1:20">
      <c r="A11">
        <v>2018</v>
      </c>
      <c r="C11" t="s">
        <v>303</v>
      </c>
      <c r="D11" t="s">
        <v>304</v>
      </c>
      <c r="I11">
        <v>10</v>
      </c>
      <c r="J11" t="s">
        <v>333</v>
      </c>
    </row>
    <row r="12" spans="1:20">
      <c r="A12">
        <v>2018</v>
      </c>
      <c r="C12" t="s">
        <v>333</v>
      </c>
      <c r="D12" t="s">
        <v>304</v>
      </c>
      <c r="I12">
        <v>11</v>
      </c>
      <c r="J12" t="s">
        <v>334</v>
      </c>
    </row>
    <row r="13" spans="1:20">
      <c r="A13">
        <v>2018</v>
      </c>
      <c r="C13" t="s">
        <v>334</v>
      </c>
      <c r="D13" t="s">
        <v>304</v>
      </c>
      <c r="I13">
        <v>12</v>
      </c>
      <c r="J13" t="s">
        <v>335</v>
      </c>
    </row>
    <row r="14" spans="1:20">
      <c r="A14">
        <v>2018</v>
      </c>
      <c r="C14" t="s">
        <v>335</v>
      </c>
      <c r="D14" t="s">
        <v>304</v>
      </c>
      <c r="I14">
        <v>13</v>
      </c>
      <c r="J14" t="s">
        <v>336</v>
      </c>
    </row>
    <row r="15" spans="1:20">
      <c r="A15">
        <v>2018</v>
      </c>
      <c r="C15" t="s">
        <v>336</v>
      </c>
      <c r="D15" t="s">
        <v>304</v>
      </c>
      <c r="I15">
        <v>14</v>
      </c>
      <c r="J15" s="5" t="s">
        <v>337</v>
      </c>
    </row>
    <row r="16" spans="1:20">
      <c r="A16">
        <v>2018</v>
      </c>
      <c r="C16" s="5" t="s">
        <v>337</v>
      </c>
      <c r="D16" t="s">
        <v>304</v>
      </c>
      <c r="I16">
        <v>15</v>
      </c>
      <c r="J16" t="s">
        <v>338</v>
      </c>
    </row>
    <row r="17" spans="1:10">
      <c r="A17">
        <v>2018</v>
      </c>
      <c r="C17" t="s">
        <v>338</v>
      </c>
      <c r="D17" t="s">
        <v>323</v>
      </c>
      <c r="I17">
        <v>16</v>
      </c>
      <c r="J17" t="s">
        <v>339</v>
      </c>
    </row>
    <row r="18" spans="1:10">
      <c r="A18">
        <v>2018</v>
      </c>
      <c r="C18" t="s">
        <v>339</v>
      </c>
      <c r="D18" t="s">
        <v>304</v>
      </c>
      <c r="I18">
        <v>17</v>
      </c>
      <c r="J18" t="s">
        <v>340</v>
      </c>
    </row>
    <row r="19" spans="1:10">
      <c r="A19">
        <v>2018</v>
      </c>
      <c r="C19" t="s">
        <v>340</v>
      </c>
      <c r="D19" t="s">
        <v>304</v>
      </c>
      <c r="I19">
        <v>18</v>
      </c>
      <c r="J19" t="s">
        <v>341</v>
      </c>
    </row>
    <row r="20" spans="1:10">
      <c r="A20">
        <v>2018</v>
      </c>
      <c r="C20" t="s">
        <v>341</v>
      </c>
      <c r="D20" t="s">
        <v>304</v>
      </c>
      <c r="I20">
        <v>19</v>
      </c>
      <c r="J20" s="5" t="s">
        <v>342</v>
      </c>
    </row>
    <row r="21" spans="1:10">
      <c r="A21">
        <v>2018</v>
      </c>
      <c r="C21" t="s">
        <v>343</v>
      </c>
      <c r="D21" t="s">
        <v>304</v>
      </c>
      <c r="I21">
        <v>20</v>
      </c>
      <c r="J21" t="s">
        <v>344</v>
      </c>
    </row>
    <row r="22" spans="1:10">
      <c r="A22">
        <v>2018</v>
      </c>
      <c r="C22" s="5" t="s">
        <v>342</v>
      </c>
      <c r="D22" t="s">
        <v>304</v>
      </c>
      <c r="I22">
        <v>21</v>
      </c>
      <c r="J22" t="s">
        <v>345</v>
      </c>
    </row>
    <row r="23" spans="1:10">
      <c r="A23">
        <v>2019</v>
      </c>
      <c r="C23" t="s">
        <v>344</v>
      </c>
      <c r="D23" t="s">
        <v>304</v>
      </c>
      <c r="I23">
        <v>22</v>
      </c>
      <c r="J23" t="s">
        <v>346</v>
      </c>
    </row>
    <row r="24" spans="1:10">
      <c r="A24">
        <v>2019</v>
      </c>
      <c r="C24" t="s">
        <v>337</v>
      </c>
      <c r="D24" t="s">
        <v>304</v>
      </c>
      <c r="I24">
        <v>23</v>
      </c>
      <c r="J24" t="s">
        <v>347</v>
      </c>
    </row>
    <row r="25" spans="1:10">
      <c r="A25">
        <v>2019</v>
      </c>
      <c r="C25" t="s">
        <v>345</v>
      </c>
      <c r="D25" t="s">
        <v>304</v>
      </c>
      <c r="I25">
        <v>24</v>
      </c>
      <c r="J25" t="s">
        <v>348</v>
      </c>
    </row>
    <row r="26" spans="1:10">
      <c r="A26">
        <v>2019</v>
      </c>
      <c r="C26" t="s">
        <v>319</v>
      </c>
      <c r="D26" t="s">
        <v>304</v>
      </c>
      <c r="I26">
        <v>25</v>
      </c>
      <c r="J26" t="s">
        <v>349</v>
      </c>
    </row>
    <row r="27" spans="1:10">
      <c r="A27">
        <v>2019</v>
      </c>
      <c r="C27" t="s">
        <v>346</v>
      </c>
      <c r="D27" t="s">
        <v>304</v>
      </c>
      <c r="I27">
        <v>26</v>
      </c>
      <c r="J27" t="s">
        <v>350</v>
      </c>
    </row>
    <row r="28" spans="1:10">
      <c r="A28">
        <v>2019</v>
      </c>
      <c r="C28" t="s">
        <v>331</v>
      </c>
      <c r="D28" t="s">
        <v>304</v>
      </c>
      <c r="I28">
        <v>27</v>
      </c>
      <c r="J28" t="s">
        <v>351</v>
      </c>
    </row>
    <row r="29" spans="1:10">
      <c r="A29">
        <v>2019</v>
      </c>
      <c r="C29" t="s">
        <v>352</v>
      </c>
      <c r="D29" t="s">
        <v>304</v>
      </c>
      <c r="I29">
        <v>28</v>
      </c>
      <c r="J29" t="s">
        <v>353</v>
      </c>
    </row>
    <row r="30" spans="1:10">
      <c r="A30">
        <v>2019</v>
      </c>
      <c r="C30" t="s">
        <v>347</v>
      </c>
      <c r="D30" t="s">
        <v>304</v>
      </c>
      <c r="I30">
        <v>29</v>
      </c>
      <c r="J30" t="s">
        <v>354</v>
      </c>
    </row>
    <row r="31" spans="1:10">
      <c r="A31">
        <v>2019</v>
      </c>
      <c r="C31" t="s">
        <v>309</v>
      </c>
      <c r="D31" t="s">
        <v>304</v>
      </c>
      <c r="I31">
        <v>30</v>
      </c>
      <c r="J31" t="s">
        <v>355</v>
      </c>
    </row>
    <row r="32" spans="1:10">
      <c r="A32">
        <v>2019</v>
      </c>
      <c r="C32" t="s">
        <v>348</v>
      </c>
      <c r="D32" t="s">
        <v>304</v>
      </c>
      <c r="I32">
        <v>31</v>
      </c>
      <c r="J32" t="s">
        <v>356</v>
      </c>
    </row>
    <row r="33" spans="1:10">
      <c r="A33">
        <v>2019</v>
      </c>
      <c r="C33" t="s">
        <v>148</v>
      </c>
      <c r="D33" t="s">
        <v>304</v>
      </c>
      <c r="I33">
        <v>32</v>
      </c>
      <c r="J33" t="s">
        <v>357</v>
      </c>
    </row>
    <row r="34" spans="1:10">
      <c r="A34">
        <v>2019</v>
      </c>
      <c r="C34" t="s">
        <v>349</v>
      </c>
      <c r="D34" t="s">
        <v>304</v>
      </c>
      <c r="I34">
        <v>33</v>
      </c>
      <c r="J34" t="s">
        <v>358</v>
      </c>
    </row>
    <row r="35" spans="1:10">
      <c r="A35">
        <v>2019</v>
      </c>
      <c r="C35" t="s">
        <v>350</v>
      </c>
      <c r="D35" t="s">
        <v>304</v>
      </c>
      <c r="I35">
        <v>34</v>
      </c>
      <c r="J35" t="s">
        <v>359</v>
      </c>
    </row>
    <row r="36" spans="1:10">
      <c r="A36">
        <v>2019</v>
      </c>
      <c r="C36" t="s">
        <v>360</v>
      </c>
      <c r="D36" t="s">
        <v>304</v>
      </c>
      <c r="I36">
        <v>35</v>
      </c>
      <c r="J36" t="s">
        <v>361</v>
      </c>
    </row>
    <row r="37" spans="1:10">
      <c r="A37">
        <v>2019</v>
      </c>
      <c r="C37" t="s">
        <v>351</v>
      </c>
      <c r="D37" t="s">
        <v>304</v>
      </c>
      <c r="I37">
        <v>36</v>
      </c>
      <c r="J37" t="s">
        <v>362</v>
      </c>
    </row>
    <row r="38" spans="1:10">
      <c r="A38">
        <v>2019</v>
      </c>
      <c r="C38" t="s">
        <v>353</v>
      </c>
      <c r="D38" t="s">
        <v>304</v>
      </c>
      <c r="I38">
        <v>37</v>
      </c>
      <c r="J38" t="s">
        <v>363</v>
      </c>
    </row>
    <row r="39" spans="1:10">
      <c r="A39">
        <v>2019</v>
      </c>
      <c r="C39" t="s">
        <v>354</v>
      </c>
      <c r="D39" t="s">
        <v>304</v>
      </c>
      <c r="I39">
        <v>38</v>
      </c>
      <c r="J39" t="s">
        <v>364</v>
      </c>
    </row>
    <row r="40" spans="1:10">
      <c r="A40">
        <v>2020</v>
      </c>
      <c r="C40" t="s">
        <v>346</v>
      </c>
      <c r="D40" t="s">
        <v>304</v>
      </c>
      <c r="I40">
        <v>39</v>
      </c>
      <c r="J40" t="s">
        <v>365</v>
      </c>
    </row>
    <row r="41" spans="1:10">
      <c r="A41">
        <v>2020</v>
      </c>
      <c r="C41" t="s">
        <v>355</v>
      </c>
      <c r="D41" t="s">
        <v>304</v>
      </c>
      <c r="I41">
        <v>40</v>
      </c>
      <c r="J41" t="s">
        <v>366</v>
      </c>
    </row>
    <row r="42" spans="1:10">
      <c r="A42">
        <v>2020</v>
      </c>
      <c r="C42" t="s">
        <v>319</v>
      </c>
      <c r="D42" t="s">
        <v>304</v>
      </c>
      <c r="I42">
        <v>41</v>
      </c>
      <c r="J42" t="s">
        <v>367</v>
      </c>
    </row>
    <row r="43" spans="1:10">
      <c r="A43">
        <v>2020</v>
      </c>
      <c r="C43" t="s">
        <v>356</v>
      </c>
      <c r="D43" t="s">
        <v>304</v>
      </c>
      <c r="I43">
        <v>42</v>
      </c>
      <c r="J43" t="s">
        <v>368</v>
      </c>
    </row>
    <row r="44" spans="1:10">
      <c r="A44">
        <v>2020</v>
      </c>
      <c r="C44" t="s">
        <v>21</v>
      </c>
      <c r="D44" t="s">
        <v>304</v>
      </c>
      <c r="I44">
        <v>43</v>
      </c>
      <c r="J44" t="s">
        <v>369</v>
      </c>
    </row>
    <row r="45" spans="1:10">
      <c r="A45">
        <v>2020</v>
      </c>
      <c r="C45" t="s">
        <v>357</v>
      </c>
      <c r="D45" t="s">
        <v>304</v>
      </c>
      <c r="I45">
        <v>44</v>
      </c>
      <c r="J45" t="s">
        <v>370</v>
      </c>
    </row>
    <row r="46" spans="1:10">
      <c r="A46">
        <v>2020</v>
      </c>
      <c r="C46" t="s">
        <v>331</v>
      </c>
      <c r="D46" t="s">
        <v>304</v>
      </c>
      <c r="I46">
        <v>45</v>
      </c>
      <c r="J46" t="s">
        <v>371</v>
      </c>
    </row>
    <row r="47" spans="1:10">
      <c r="A47">
        <v>2020</v>
      </c>
      <c r="C47" t="s">
        <v>358</v>
      </c>
      <c r="D47" t="s">
        <v>304</v>
      </c>
      <c r="I47">
        <v>46</v>
      </c>
      <c r="J47" t="s">
        <v>372</v>
      </c>
    </row>
    <row r="48" spans="1:10">
      <c r="A48">
        <v>2020</v>
      </c>
      <c r="C48" t="s">
        <v>359</v>
      </c>
      <c r="D48" t="s">
        <v>304</v>
      </c>
      <c r="I48">
        <v>47</v>
      </c>
      <c r="J48" t="s">
        <v>373</v>
      </c>
    </row>
    <row r="49" spans="1:10">
      <c r="A49">
        <v>2020</v>
      </c>
      <c r="C49" t="s">
        <v>361</v>
      </c>
      <c r="D49" t="s">
        <v>320</v>
      </c>
      <c r="I49">
        <v>48</v>
      </c>
      <c r="J49" t="s">
        <v>374</v>
      </c>
    </row>
    <row r="50" spans="1:10">
      <c r="A50">
        <v>2020</v>
      </c>
      <c r="C50" t="s">
        <v>362</v>
      </c>
      <c r="D50" t="s">
        <v>304</v>
      </c>
      <c r="I50">
        <v>49</v>
      </c>
      <c r="J50" t="s">
        <v>375</v>
      </c>
    </row>
    <row r="51" spans="1:10">
      <c r="A51">
        <v>2020</v>
      </c>
      <c r="C51" t="s">
        <v>363</v>
      </c>
      <c r="D51" t="s">
        <v>304</v>
      </c>
      <c r="I51">
        <v>50</v>
      </c>
      <c r="J51" t="s">
        <v>376</v>
      </c>
    </row>
    <row r="52" spans="1:10">
      <c r="A52">
        <v>2020</v>
      </c>
      <c r="C52" t="s">
        <v>377</v>
      </c>
      <c r="D52" t="s">
        <v>304</v>
      </c>
      <c r="I52">
        <v>51</v>
      </c>
      <c r="J52" t="s">
        <v>378</v>
      </c>
    </row>
    <row r="53" spans="1:10">
      <c r="A53">
        <v>2020</v>
      </c>
      <c r="C53" t="s">
        <v>303</v>
      </c>
      <c r="D53" t="s">
        <v>304</v>
      </c>
      <c r="I53">
        <v>52</v>
      </c>
      <c r="J53" t="s">
        <v>379</v>
      </c>
    </row>
    <row r="54" spans="1:10">
      <c r="A54">
        <v>2020</v>
      </c>
      <c r="C54" t="s">
        <v>364</v>
      </c>
      <c r="D54" t="s">
        <v>304</v>
      </c>
      <c r="I54">
        <v>53</v>
      </c>
      <c r="J54" t="s">
        <v>380</v>
      </c>
    </row>
    <row r="55" spans="1:10">
      <c r="A55">
        <v>2020</v>
      </c>
      <c r="C55" t="s">
        <v>98</v>
      </c>
      <c r="D55" t="s">
        <v>304</v>
      </c>
      <c r="I55">
        <v>54</v>
      </c>
      <c r="J55" t="s">
        <v>381</v>
      </c>
    </row>
    <row r="56" spans="1:10">
      <c r="A56">
        <v>2020</v>
      </c>
      <c r="C56" t="s">
        <v>366</v>
      </c>
      <c r="D56" t="s">
        <v>304</v>
      </c>
      <c r="I56">
        <v>55</v>
      </c>
      <c r="J56" t="s">
        <v>382</v>
      </c>
    </row>
    <row r="57" spans="1:10">
      <c r="A57">
        <v>2020</v>
      </c>
      <c r="C57" t="s">
        <v>367</v>
      </c>
      <c r="D57" t="s">
        <v>304</v>
      </c>
      <c r="I57">
        <v>56</v>
      </c>
      <c r="J57" t="s">
        <v>383</v>
      </c>
    </row>
    <row r="58" spans="1:10">
      <c r="A58">
        <v>2020</v>
      </c>
      <c r="C58" t="s">
        <v>368</v>
      </c>
      <c r="D58" t="s">
        <v>304</v>
      </c>
      <c r="I58">
        <v>57</v>
      </c>
      <c r="J58" t="s">
        <v>384</v>
      </c>
    </row>
    <row r="59" spans="1:10">
      <c r="A59">
        <v>2020</v>
      </c>
      <c r="C59" t="s">
        <v>385</v>
      </c>
      <c r="D59" t="s">
        <v>304</v>
      </c>
      <c r="I59">
        <v>58</v>
      </c>
      <c r="J59" t="s">
        <v>386</v>
      </c>
    </row>
    <row r="60" spans="1:10">
      <c r="A60">
        <v>2020</v>
      </c>
      <c r="C60" t="s">
        <v>369</v>
      </c>
      <c r="D60" t="s">
        <v>304</v>
      </c>
      <c r="I60">
        <v>59</v>
      </c>
      <c r="J60" t="s">
        <v>387</v>
      </c>
    </row>
    <row r="61" spans="1:10">
      <c r="A61">
        <v>2020</v>
      </c>
      <c r="C61" t="s">
        <v>370</v>
      </c>
      <c r="D61" t="s">
        <v>304</v>
      </c>
      <c r="I61">
        <v>60</v>
      </c>
      <c r="J61" t="s">
        <v>388</v>
      </c>
    </row>
    <row r="62" spans="1:10">
      <c r="A62">
        <v>2020</v>
      </c>
      <c r="C62" t="s">
        <v>371</v>
      </c>
      <c r="D62" t="s">
        <v>304</v>
      </c>
      <c r="I62">
        <v>61</v>
      </c>
      <c r="J62" t="s">
        <v>389</v>
      </c>
    </row>
    <row r="63" spans="1:10">
      <c r="A63">
        <v>2020</v>
      </c>
      <c r="C63" t="s">
        <v>148</v>
      </c>
      <c r="D63" t="s">
        <v>304</v>
      </c>
      <c r="I63">
        <v>62</v>
      </c>
      <c r="J63" t="s">
        <v>390</v>
      </c>
    </row>
    <row r="64" spans="1:10">
      <c r="A64">
        <v>2020</v>
      </c>
      <c r="C64" t="s">
        <v>372</v>
      </c>
      <c r="D64" t="s">
        <v>320</v>
      </c>
      <c r="I64">
        <v>63</v>
      </c>
      <c r="J64" t="s">
        <v>391</v>
      </c>
    </row>
    <row r="65" spans="1:10">
      <c r="A65">
        <v>2020</v>
      </c>
      <c r="C65" t="s">
        <v>373</v>
      </c>
      <c r="D65" t="s">
        <v>304</v>
      </c>
      <c r="I65">
        <v>64</v>
      </c>
      <c r="J65" t="s">
        <v>392</v>
      </c>
    </row>
    <row r="66" spans="1:10">
      <c r="A66">
        <v>2020</v>
      </c>
      <c r="C66" t="s">
        <v>374</v>
      </c>
      <c r="D66" t="s">
        <v>304</v>
      </c>
      <c r="I66">
        <v>65</v>
      </c>
      <c r="J66" t="s">
        <v>393</v>
      </c>
    </row>
    <row r="67" spans="1:10">
      <c r="A67">
        <v>2021</v>
      </c>
      <c r="C67" t="s">
        <v>375</v>
      </c>
      <c r="D67" t="s">
        <v>304</v>
      </c>
      <c r="I67">
        <v>66</v>
      </c>
      <c r="J67" t="s">
        <v>394</v>
      </c>
    </row>
    <row r="68" spans="1:10">
      <c r="A68">
        <v>2021</v>
      </c>
      <c r="C68" t="s">
        <v>376</v>
      </c>
      <c r="D68" t="s">
        <v>304</v>
      </c>
      <c r="I68">
        <v>67</v>
      </c>
      <c r="J68" t="s">
        <v>395</v>
      </c>
    </row>
    <row r="69" spans="1:10">
      <c r="A69">
        <v>2021</v>
      </c>
      <c r="C69" t="s">
        <v>378</v>
      </c>
      <c r="D69" t="s">
        <v>304</v>
      </c>
      <c r="I69">
        <v>68</v>
      </c>
      <c r="J69" t="s">
        <v>396</v>
      </c>
    </row>
    <row r="70" spans="1:10">
      <c r="A70">
        <v>2021</v>
      </c>
      <c r="C70" t="s">
        <v>347</v>
      </c>
      <c r="D70" t="s">
        <v>304</v>
      </c>
      <c r="I70">
        <v>69</v>
      </c>
      <c r="J70" t="s">
        <v>397</v>
      </c>
    </row>
    <row r="71" spans="1:10">
      <c r="A71">
        <v>2021</v>
      </c>
      <c r="C71" t="s">
        <v>319</v>
      </c>
      <c r="D71" t="s">
        <v>304</v>
      </c>
      <c r="I71">
        <v>70</v>
      </c>
      <c r="J71" s="22" t="s">
        <v>398</v>
      </c>
    </row>
    <row r="72" spans="1:10">
      <c r="A72">
        <v>2021</v>
      </c>
      <c r="C72" t="s">
        <v>399</v>
      </c>
      <c r="D72" t="s">
        <v>304</v>
      </c>
      <c r="I72">
        <v>71</v>
      </c>
      <c r="J72" s="25" t="s">
        <v>400</v>
      </c>
    </row>
    <row r="73" spans="1:10">
      <c r="A73">
        <v>2021</v>
      </c>
      <c r="C73" t="s">
        <v>401</v>
      </c>
      <c r="D73" t="s">
        <v>304</v>
      </c>
      <c r="I73">
        <v>72</v>
      </c>
      <c r="J73" s="20" t="s">
        <v>402</v>
      </c>
    </row>
    <row r="74" spans="1:10">
      <c r="A74">
        <v>2021</v>
      </c>
      <c r="C74" t="s">
        <v>379</v>
      </c>
      <c r="D74" t="s">
        <v>304</v>
      </c>
      <c r="I74">
        <v>73</v>
      </c>
      <c r="J74" s="20" t="s">
        <v>403</v>
      </c>
    </row>
    <row r="75" spans="1:10">
      <c r="A75">
        <v>2021</v>
      </c>
      <c r="C75" t="s">
        <v>404</v>
      </c>
      <c r="D75" t="s">
        <v>304</v>
      </c>
      <c r="I75">
        <v>74</v>
      </c>
      <c r="J75" s="20" t="s">
        <v>405</v>
      </c>
    </row>
    <row r="76" spans="1:10">
      <c r="A76">
        <v>2021</v>
      </c>
      <c r="C76" t="s">
        <v>380</v>
      </c>
      <c r="D76" t="s">
        <v>315</v>
      </c>
      <c r="I76">
        <v>75</v>
      </c>
      <c r="J76" s="20" t="s">
        <v>406</v>
      </c>
    </row>
    <row r="77" spans="1:10">
      <c r="A77">
        <v>2021</v>
      </c>
      <c r="C77" t="s">
        <v>381</v>
      </c>
      <c r="D77" t="s">
        <v>304</v>
      </c>
      <c r="I77">
        <v>76</v>
      </c>
      <c r="J77" s="22" t="s">
        <v>407</v>
      </c>
    </row>
    <row r="78" spans="1:10">
      <c r="A78">
        <v>2021</v>
      </c>
      <c r="C78" t="s">
        <v>408</v>
      </c>
      <c r="D78" t="s">
        <v>304</v>
      </c>
      <c r="I78">
        <v>77</v>
      </c>
      <c r="J78" s="22" t="s">
        <v>409</v>
      </c>
    </row>
    <row r="79" spans="1:10">
      <c r="A79">
        <v>2021</v>
      </c>
      <c r="C79" t="s">
        <v>382</v>
      </c>
      <c r="D79" t="s">
        <v>304</v>
      </c>
      <c r="I79">
        <v>78</v>
      </c>
      <c r="J79" s="22" t="s">
        <v>410</v>
      </c>
    </row>
    <row r="80" spans="1:10">
      <c r="A80">
        <v>2021</v>
      </c>
      <c r="C80" t="s">
        <v>383</v>
      </c>
      <c r="D80" t="s">
        <v>304</v>
      </c>
      <c r="I80">
        <v>79</v>
      </c>
      <c r="J80" s="22" t="s">
        <v>411</v>
      </c>
    </row>
    <row r="81" spans="1:13">
      <c r="A81">
        <v>2021</v>
      </c>
      <c r="C81" t="s">
        <v>412</v>
      </c>
      <c r="D81" t="s">
        <v>304</v>
      </c>
      <c r="I81">
        <v>80</v>
      </c>
      <c r="J81" s="22" t="s">
        <v>413</v>
      </c>
    </row>
    <row r="82" spans="1:13">
      <c r="A82">
        <v>2021</v>
      </c>
      <c r="C82" t="s">
        <v>384</v>
      </c>
      <c r="D82" t="s">
        <v>315</v>
      </c>
      <c r="I82">
        <v>81</v>
      </c>
      <c r="J82" s="22" t="s">
        <v>223</v>
      </c>
    </row>
    <row r="83" spans="1:13">
      <c r="A83">
        <v>2021</v>
      </c>
      <c r="C83" t="s">
        <v>386</v>
      </c>
      <c r="D83" t="s">
        <v>304</v>
      </c>
      <c r="I83">
        <v>82</v>
      </c>
      <c r="J83" s="22" t="s">
        <v>414</v>
      </c>
    </row>
    <row r="84" spans="1:13">
      <c r="C84" t="s">
        <v>415</v>
      </c>
      <c r="D84" t="s">
        <v>304</v>
      </c>
      <c r="I84">
        <v>83</v>
      </c>
      <c r="J84" t="s">
        <v>416</v>
      </c>
    </row>
    <row r="85" spans="1:13">
      <c r="A85">
        <v>2021</v>
      </c>
      <c r="C85" t="s">
        <v>417</v>
      </c>
      <c r="D85" t="s">
        <v>304</v>
      </c>
      <c r="I85" s="26">
        <v>84</v>
      </c>
      <c r="J85" s="26" t="s">
        <v>418</v>
      </c>
    </row>
    <row r="86" spans="1:13">
      <c r="A86">
        <v>2021</v>
      </c>
      <c r="C86" t="s">
        <v>419</v>
      </c>
      <c r="D86" t="s">
        <v>304</v>
      </c>
      <c r="I86" s="26">
        <v>85</v>
      </c>
      <c r="J86" s="26" t="s">
        <v>420</v>
      </c>
      <c r="L86" s="5"/>
      <c r="M86" s="5"/>
    </row>
    <row r="87" spans="1:13">
      <c r="A87">
        <v>2021</v>
      </c>
      <c r="C87" t="s">
        <v>387</v>
      </c>
      <c r="D87" t="s">
        <v>304</v>
      </c>
      <c r="I87" s="26">
        <v>86</v>
      </c>
      <c r="J87" s="26" t="s">
        <v>421</v>
      </c>
    </row>
    <row r="88" spans="1:13">
      <c r="A88">
        <v>2021</v>
      </c>
      <c r="C88" t="s">
        <v>388</v>
      </c>
      <c r="D88" t="s">
        <v>304</v>
      </c>
      <c r="I88" s="26">
        <v>87</v>
      </c>
      <c r="J88" s="26" t="s">
        <v>422</v>
      </c>
    </row>
    <row r="89" spans="1:13">
      <c r="A89">
        <v>2021</v>
      </c>
      <c r="C89" t="s">
        <v>389</v>
      </c>
      <c r="D89" t="s">
        <v>320</v>
      </c>
      <c r="I89" s="26">
        <v>88</v>
      </c>
      <c r="J89" s="26" t="s">
        <v>423</v>
      </c>
    </row>
    <row r="90" spans="1:13">
      <c r="A90">
        <v>2021</v>
      </c>
      <c r="C90" t="s">
        <v>390</v>
      </c>
      <c r="D90" t="s">
        <v>304</v>
      </c>
      <c r="I90" s="26">
        <v>89</v>
      </c>
      <c r="J90" s="26" t="s">
        <v>424</v>
      </c>
    </row>
    <row r="91" spans="1:13">
      <c r="A91">
        <v>2021</v>
      </c>
      <c r="C91" t="s">
        <v>425</v>
      </c>
      <c r="D91" t="s">
        <v>304</v>
      </c>
      <c r="I91" s="26">
        <v>90</v>
      </c>
      <c r="J91" s="26" t="s">
        <v>426</v>
      </c>
      <c r="L91" s="5"/>
      <c r="M91" s="5"/>
    </row>
    <row r="92" spans="1:13">
      <c r="A92">
        <v>2021</v>
      </c>
      <c r="C92" t="s">
        <v>427</v>
      </c>
      <c r="D92" t="s">
        <v>304</v>
      </c>
      <c r="I92" s="26">
        <v>91</v>
      </c>
      <c r="J92" s="26" t="s">
        <v>428</v>
      </c>
    </row>
    <row r="93" spans="1:13">
      <c r="A93">
        <v>2021</v>
      </c>
      <c r="C93" t="s">
        <v>429</v>
      </c>
      <c r="D93" t="s">
        <v>304</v>
      </c>
      <c r="I93" s="26">
        <v>92</v>
      </c>
      <c r="J93" s="26" t="s">
        <v>430</v>
      </c>
    </row>
    <row r="94" spans="1:13">
      <c r="A94">
        <v>2021</v>
      </c>
      <c r="C94" t="s">
        <v>431</v>
      </c>
      <c r="D94" t="s">
        <v>304</v>
      </c>
      <c r="I94" s="26">
        <v>93</v>
      </c>
      <c r="J94" s="26" t="s">
        <v>432</v>
      </c>
    </row>
    <row r="95" spans="1:13">
      <c r="A95">
        <v>2021</v>
      </c>
      <c r="C95" t="s">
        <v>433</v>
      </c>
      <c r="D95" t="s">
        <v>304</v>
      </c>
      <c r="I95" s="26">
        <v>94</v>
      </c>
      <c r="J95" s="26" t="s">
        <v>434</v>
      </c>
    </row>
    <row r="96" spans="1:13">
      <c r="A96">
        <v>2021</v>
      </c>
      <c r="C96" t="s">
        <v>391</v>
      </c>
      <c r="D96" t="s">
        <v>320</v>
      </c>
      <c r="I96" s="26">
        <v>95</v>
      </c>
      <c r="J96" s="26" t="s">
        <v>68</v>
      </c>
    </row>
    <row r="97" spans="1:16">
      <c r="A97">
        <v>2021</v>
      </c>
      <c r="C97" t="s">
        <v>392</v>
      </c>
      <c r="D97" t="s">
        <v>304</v>
      </c>
      <c r="I97" s="26">
        <v>96</v>
      </c>
      <c r="J97" s="26" t="s">
        <v>435</v>
      </c>
    </row>
    <row r="98" spans="1:16">
      <c r="A98">
        <v>2021</v>
      </c>
      <c r="C98" t="s">
        <v>393</v>
      </c>
      <c r="D98" t="s">
        <v>304</v>
      </c>
      <c r="I98" s="26">
        <v>97</v>
      </c>
      <c r="J98" s="26" t="s">
        <v>436</v>
      </c>
    </row>
    <row r="99" spans="1:16">
      <c r="A99">
        <v>2021</v>
      </c>
      <c r="C99" t="s">
        <v>394</v>
      </c>
      <c r="D99" t="s">
        <v>304</v>
      </c>
      <c r="I99" s="26">
        <v>98</v>
      </c>
      <c r="J99" s="26" t="s">
        <v>437</v>
      </c>
    </row>
    <row r="100" spans="1:16">
      <c r="A100">
        <v>2021</v>
      </c>
      <c r="C100" t="s">
        <v>395</v>
      </c>
      <c r="D100" t="s">
        <v>304</v>
      </c>
      <c r="I100" s="26">
        <v>99</v>
      </c>
      <c r="J100" s="26" t="s">
        <v>88</v>
      </c>
    </row>
    <row r="101" spans="1:16">
      <c r="A101">
        <v>2021</v>
      </c>
      <c r="C101" t="s">
        <v>438</v>
      </c>
      <c r="D101" t="s">
        <v>304</v>
      </c>
      <c r="I101" s="26">
        <v>100</v>
      </c>
      <c r="J101" s="26" t="s">
        <v>95</v>
      </c>
    </row>
    <row r="102" spans="1:16">
      <c r="A102">
        <v>2021</v>
      </c>
      <c r="C102" t="s">
        <v>396</v>
      </c>
      <c r="D102" t="s">
        <v>304</v>
      </c>
      <c r="I102" s="26">
        <v>101</v>
      </c>
      <c r="J102" s="26" t="s">
        <v>71</v>
      </c>
    </row>
    <row r="103" spans="1:16">
      <c r="A103">
        <v>2021</v>
      </c>
      <c r="C103" t="s">
        <v>397</v>
      </c>
      <c r="D103" t="s">
        <v>304</v>
      </c>
      <c r="I103" s="26">
        <v>102</v>
      </c>
      <c r="J103" s="26" t="s">
        <v>101</v>
      </c>
    </row>
    <row r="104" spans="1:16">
      <c r="C104" s="26" t="s">
        <v>439</v>
      </c>
      <c r="I104" s="26">
        <v>103</v>
      </c>
      <c r="J104" s="26" t="s">
        <v>440</v>
      </c>
    </row>
    <row r="105" spans="1:16">
      <c r="A105">
        <v>2022</v>
      </c>
      <c r="C105" s="22" t="s">
        <v>398</v>
      </c>
      <c r="D105" t="s">
        <v>315</v>
      </c>
      <c r="I105" s="26">
        <v>104</v>
      </c>
      <c r="J105" s="26" t="s">
        <v>441</v>
      </c>
    </row>
    <row r="106" spans="1:16">
      <c r="A106">
        <v>2022</v>
      </c>
      <c r="C106" s="25" t="s">
        <v>400</v>
      </c>
      <c r="D106" t="s">
        <v>320</v>
      </c>
      <c r="I106" s="26">
        <v>105</v>
      </c>
      <c r="J106" s="26" t="s">
        <v>442</v>
      </c>
    </row>
    <row r="107" spans="1:16">
      <c r="A107">
        <v>2022</v>
      </c>
      <c r="C107" s="20" t="s">
        <v>402</v>
      </c>
      <c r="D107" t="s">
        <v>315</v>
      </c>
      <c r="I107" s="26">
        <v>106</v>
      </c>
      <c r="J107" s="26" t="s">
        <v>141</v>
      </c>
    </row>
    <row r="108" spans="1:16">
      <c r="A108">
        <v>2022</v>
      </c>
      <c r="C108" s="20" t="s">
        <v>403</v>
      </c>
      <c r="D108" t="s">
        <v>304</v>
      </c>
      <c r="I108" s="26">
        <v>107</v>
      </c>
      <c r="J108" s="26" t="s">
        <v>443</v>
      </c>
    </row>
    <row r="109" spans="1:16">
      <c r="A109">
        <v>2022</v>
      </c>
      <c r="C109" t="s">
        <v>416</v>
      </c>
      <c r="D109" t="s">
        <v>304</v>
      </c>
      <c r="I109" s="26">
        <v>108</v>
      </c>
      <c r="J109" s="26" t="s">
        <v>444</v>
      </c>
    </row>
    <row r="110" spans="1:16">
      <c r="A110">
        <v>2022</v>
      </c>
      <c r="C110" s="20" t="s">
        <v>405</v>
      </c>
      <c r="D110" t="s">
        <v>304</v>
      </c>
      <c r="I110" s="26">
        <v>109</v>
      </c>
      <c r="J110" s="26" t="s">
        <v>445</v>
      </c>
    </row>
    <row r="111" spans="1:16">
      <c r="A111">
        <v>2022</v>
      </c>
      <c r="C111" s="21" t="s">
        <v>446</v>
      </c>
      <c r="D111" t="s">
        <v>320</v>
      </c>
      <c r="I111" s="26">
        <v>110</v>
      </c>
      <c r="J111" s="26" t="s">
        <v>447</v>
      </c>
    </row>
    <row r="112" spans="1:16">
      <c r="A112">
        <v>2022</v>
      </c>
      <c r="C112" s="22" t="s">
        <v>448</v>
      </c>
      <c r="D112" t="s">
        <v>304</v>
      </c>
      <c r="I112" s="26">
        <v>111</v>
      </c>
      <c r="J112" s="26" t="s">
        <v>449</v>
      </c>
      <c r="L112" s="51"/>
      <c r="M112" s="29" t="s">
        <v>301</v>
      </c>
      <c r="N112" s="48" t="s">
        <v>302</v>
      </c>
      <c r="O112" s="49"/>
      <c r="P112" s="50"/>
    </row>
    <row r="113" spans="1:16">
      <c r="A113">
        <v>2022</v>
      </c>
      <c r="C113" s="22" t="s">
        <v>450</v>
      </c>
      <c r="D113" t="s">
        <v>304</v>
      </c>
      <c r="I113" s="26">
        <v>112</v>
      </c>
      <c r="J113" s="26" t="s">
        <v>181</v>
      </c>
      <c r="L113" s="52"/>
      <c r="M113" s="30" t="s">
        <v>305</v>
      </c>
      <c r="N113" s="31" t="s">
        <v>306</v>
      </c>
      <c r="O113" s="31" t="s">
        <v>307</v>
      </c>
      <c r="P113" s="31" t="s">
        <v>308</v>
      </c>
    </row>
    <row r="114" spans="1:16">
      <c r="A114">
        <v>2022</v>
      </c>
      <c r="C114" s="20" t="s">
        <v>406</v>
      </c>
      <c r="D114" t="s">
        <v>304</v>
      </c>
      <c r="I114" s="26">
        <v>113</v>
      </c>
      <c r="J114" s="26" t="s">
        <v>451</v>
      </c>
      <c r="L114" s="28" t="s">
        <v>310</v>
      </c>
      <c r="M114" s="30">
        <f t="shared" ref="M114:P119" si="2">F192</f>
        <v>72</v>
      </c>
      <c r="N114" s="31" t="str">
        <f t="shared" si="2"/>
        <v>17(25)</v>
      </c>
      <c r="O114" s="31" t="str">
        <f t="shared" si="2"/>
        <v>26(35)</v>
      </c>
      <c r="P114" s="31" t="str">
        <f t="shared" si="2"/>
        <v>43(60)</v>
      </c>
    </row>
    <row r="115" spans="1:16">
      <c r="A115">
        <v>2022</v>
      </c>
      <c r="C115" s="20" t="s">
        <v>452</v>
      </c>
      <c r="D115" t="s">
        <v>304</v>
      </c>
      <c r="I115" s="26">
        <v>114</v>
      </c>
      <c r="J115" s="26" t="s">
        <v>453</v>
      </c>
      <c r="L115" s="28" t="s">
        <v>315</v>
      </c>
      <c r="M115" s="30">
        <f t="shared" si="2"/>
        <v>4</v>
      </c>
      <c r="N115" s="31" t="str">
        <f t="shared" si="2"/>
        <v>1(2)</v>
      </c>
      <c r="O115" s="31" t="str">
        <f t="shared" si="2"/>
        <v>5(7)</v>
      </c>
      <c r="P115" s="31" t="str">
        <f t="shared" si="2"/>
        <v>6(9)</v>
      </c>
    </row>
    <row r="116" spans="1:16">
      <c r="A116">
        <v>2022</v>
      </c>
      <c r="C116" s="22" t="s">
        <v>454</v>
      </c>
      <c r="D116" t="s">
        <v>304</v>
      </c>
      <c r="I116" s="26">
        <v>115</v>
      </c>
      <c r="J116" s="26" t="s">
        <v>455</v>
      </c>
      <c r="L116" s="28" t="s">
        <v>320</v>
      </c>
      <c r="M116" s="30">
        <f t="shared" si="2"/>
        <v>6</v>
      </c>
      <c r="N116" s="31">
        <f t="shared" si="2"/>
        <v>0</v>
      </c>
      <c r="O116" s="31" t="str">
        <f t="shared" si="2"/>
        <v>1(1)</v>
      </c>
      <c r="P116" s="31" t="str">
        <f t="shared" si="2"/>
        <v>1(1)</v>
      </c>
    </row>
    <row r="117" spans="1:16">
      <c r="A117">
        <v>2022</v>
      </c>
      <c r="C117" s="22" t="s">
        <v>354</v>
      </c>
      <c r="D117" t="s">
        <v>304</v>
      </c>
      <c r="I117" s="26">
        <v>116</v>
      </c>
      <c r="J117" s="26" t="s">
        <v>456</v>
      </c>
      <c r="L117" s="28" t="s">
        <v>323</v>
      </c>
      <c r="M117" s="30">
        <f t="shared" si="2"/>
        <v>1</v>
      </c>
      <c r="N117" s="31">
        <f t="shared" si="2"/>
        <v>0</v>
      </c>
      <c r="O117" s="31" t="str">
        <f t="shared" si="2"/>
        <v>13(21)</v>
      </c>
      <c r="P117" s="31" t="str">
        <f t="shared" si="2"/>
        <v>13(21)</v>
      </c>
    </row>
    <row r="118" spans="1:16">
      <c r="A118">
        <v>2022</v>
      </c>
      <c r="C118" s="22" t="s">
        <v>346</v>
      </c>
      <c r="D118" t="s">
        <v>304</v>
      </c>
      <c r="I118" s="26">
        <v>117</v>
      </c>
      <c r="J118" s="26" t="s">
        <v>457</v>
      </c>
      <c r="L118" s="28" t="s">
        <v>326</v>
      </c>
      <c r="M118" s="30">
        <f t="shared" si="2"/>
        <v>0</v>
      </c>
      <c r="N118" s="31">
        <f t="shared" si="2"/>
        <v>0</v>
      </c>
      <c r="O118" s="31">
        <f t="shared" si="2"/>
        <v>0</v>
      </c>
      <c r="P118" s="31">
        <f t="shared" si="2"/>
        <v>0</v>
      </c>
    </row>
    <row r="119" spans="1:16">
      <c r="A119">
        <v>2022</v>
      </c>
      <c r="C119" s="22" t="s">
        <v>458</v>
      </c>
      <c r="D119" t="s">
        <v>304</v>
      </c>
      <c r="I119" s="26">
        <v>118</v>
      </c>
      <c r="J119" s="26" t="s">
        <v>459</v>
      </c>
      <c r="L119" s="28" t="s">
        <v>308</v>
      </c>
      <c r="M119" s="30">
        <f t="shared" si="2"/>
        <v>83</v>
      </c>
      <c r="N119" s="31" t="str">
        <f t="shared" si="2"/>
        <v>18(27)</v>
      </c>
      <c r="O119" s="31" t="str">
        <f t="shared" si="2"/>
        <v>45(64)</v>
      </c>
      <c r="P119" s="31" t="str">
        <f t="shared" si="2"/>
        <v>63(91)</v>
      </c>
    </row>
    <row r="120" spans="1:16">
      <c r="A120">
        <v>2022</v>
      </c>
      <c r="C120" s="22" t="s">
        <v>407</v>
      </c>
      <c r="D120" t="s">
        <v>304</v>
      </c>
      <c r="I120" s="26">
        <v>119</v>
      </c>
      <c r="J120" s="26" t="s">
        <v>460</v>
      </c>
    </row>
    <row r="121" spans="1:16">
      <c r="A121">
        <v>2022</v>
      </c>
      <c r="C121" s="22" t="s">
        <v>409</v>
      </c>
      <c r="D121" t="s">
        <v>304</v>
      </c>
      <c r="I121" s="26">
        <v>120</v>
      </c>
      <c r="J121" s="26" t="s">
        <v>461</v>
      </c>
    </row>
    <row r="122" spans="1:16">
      <c r="A122">
        <v>2022</v>
      </c>
      <c r="C122" s="22" t="s">
        <v>327</v>
      </c>
      <c r="D122" t="s">
        <v>304</v>
      </c>
      <c r="I122" s="26">
        <v>121</v>
      </c>
      <c r="J122" s="26" t="s">
        <v>462</v>
      </c>
    </row>
    <row r="123" spans="1:16">
      <c r="A123">
        <v>2022</v>
      </c>
      <c r="C123" s="22" t="s">
        <v>410</v>
      </c>
      <c r="D123" t="s">
        <v>320</v>
      </c>
      <c r="I123" s="26">
        <v>122</v>
      </c>
      <c r="J123" s="26" t="s">
        <v>463</v>
      </c>
    </row>
    <row r="124" spans="1:16">
      <c r="A124">
        <v>2022</v>
      </c>
      <c r="C124" s="22" t="s">
        <v>411</v>
      </c>
      <c r="D124" t="s">
        <v>304</v>
      </c>
      <c r="I124" s="26">
        <v>123</v>
      </c>
      <c r="J124" s="26" t="s">
        <v>233</v>
      </c>
    </row>
    <row r="125" spans="1:16">
      <c r="A125">
        <v>2022</v>
      </c>
      <c r="C125" s="22" t="s">
        <v>464</v>
      </c>
      <c r="D125" t="s">
        <v>304</v>
      </c>
      <c r="I125" s="26">
        <v>124</v>
      </c>
      <c r="J125" s="26" t="s">
        <v>465</v>
      </c>
    </row>
    <row r="126" spans="1:16">
      <c r="A126">
        <v>2022</v>
      </c>
      <c r="C126" s="24" t="s">
        <v>466</v>
      </c>
      <c r="D126" t="s">
        <v>304</v>
      </c>
      <c r="I126" s="26">
        <v>125</v>
      </c>
      <c r="J126" s="26" t="s">
        <v>467</v>
      </c>
    </row>
    <row r="127" spans="1:16">
      <c r="A127">
        <v>2022</v>
      </c>
      <c r="C127" s="22" t="s">
        <v>413</v>
      </c>
      <c r="D127" t="s">
        <v>320</v>
      </c>
      <c r="I127" s="26">
        <v>126</v>
      </c>
      <c r="J127" s="26" t="s">
        <v>468</v>
      </c>
    </row>
    <row r="128" spans="1:16">
      <c r="A128">
        <v>2022</v>
      </c>
      <c r="C128" s="22" t="s">
        <v>469</v>
      </c>
      <c r="D128" t="s">
        <v>304</v>
      </c>
      <c r="I128" s="26">
        <v>127</v>
      </c>
      <c r="J128" s="26" t="s">
        <v>470</v>
      </c>
    </row>
    <row r="129" spans="1:10">
      <c r="A129">
        <v>2022</v>
      </c>
      <c r="C129" s="24" t="s">
        <v>471</v>
      </c>
      <c r="D129" t="s">
        <v>304</v>
      </c>
      <c r="I129" s="26">
        <v>128</v>
      </c>
      <c r="J129" s="26" t="s">
        <v>472</v>
      </c>
    </row>
    <row r="130" spans="1:10">
      <c r="A130">
        <v>2022</v>
      </c>
      <c r="C130" s="24" t="s">
        <v>369</v>
      </c>
      <c r="D130" t="s">
        <v>304</v>
      </c>
    </row>
    <row r="131" spans="1:10">
      <c r="A131">
        <v>2022</v>
      </c>
      <c r="C131" s="22" t="s">
        <v>473</v>
      </c>
      <c r="D131" t="s">
        <v>304</v>
      </c>
    </row>
    <row r="132" spans="1:10">
      <c r="A132">
        <v>2022</v>
      </c>
      <c r="C132" s="22" t="s">
        <v>474</v>
      </c>
      <c r="D132" t="s">
        <v>304</v>
      </c>
    </row>
    <row r="133" spans="1:10">
      <c r="A133">
        <v>2022</v>
      </c>
      <c r="C133" s="22" t="s">
        <v>359</v>
      </c>
      <c r="D133" t="s">
        <v>304</v>
      </c>
    </row>
    <row r="134" spans="1:10">
      <c r="A134">
        <v>2022</v>
      </c>
      <c r="C134" s="22" t="s">
        <v>223</v>
      </c>
      <c r="D134" t="s">
        <v>304</v>
      </c>
    </row>
    <row r="135" spans="1:10">
      <c r="A135">
        <v>2022</v>
      </c>
      <c r="C135" s="22" t="s">
        <v>414</v>
      </c>
      <c r="D135" t="s">
        <v>304</v>
      </c>
    </row>
    <row r="136" spans="1:10">
      <c r="A136">
        <v>2022</v>
      </c>
      <c r="C136" s="22" t="s">
        <v>475</v>
      </c>
      <c r="D136" t="s">
        <v>304</v>
      </c>
    </row>
    <row r="137" spans="1:10">
      <c r="A137">
        <v>2022</v>
      </c>
      <c r="C137" s="22" t="s">
        <v>476</v>
      </c>
      <c r="D137" t="s">
        <v>304</v>
      </c>
    </row>
    <row r="138" spans="1:10">
      <c r="A138">
        <v>2022</v>
      </c>
      <c r="C138" s="23" t="s">
        <v>13</v>
      </c>
      <c r="D138" t="s">
        <v>304</v>
      </c>
    </row>
    <row r="139" spans="1:10">
      <c r="A139">
        <v>2022</v>
      </c>
      <c r="C139" s="24" t="s">
        <v>477</v>
      </c>
      <c r="D139" t="s">
        <v>304</v>
      </c>
    </row>
    <row r="140" spans="1:10">
      <c r="A140">
        <v>2022</v>
      </c>
      <c r="C140" s="22" t="s">
        <v>478</v>
      </c>
      <c r="D140" t="s">
        <v>304</v>
      </c>
    </row>
    <row r="141" spans="1:10">
      <c r="C141" s="27" t="s">
        <v>479</v>
      </c>
    </row>
    <row r="142" spans="1:10">
      <c r="A142">
        <v>2023</v>
      </c>
      <c r="B142">
        <v>1</v>
      </c>
      <c r="C142" t="s">
        <v>13</v>
      </c>
      <c r="D142" t="s">
        <v>304</v>
      </c>
      <c r="E142">
        <v>1</v>
      </c>
    </row>
    <row r="143" spans="1:10">
      <c r="A143">
        <v>2023</v>
      </c>
      <c r="B143">
        <v>2</v>
      </c>
      <c r="C143" t="s">
        <v>418</v>
      </c>
      <c r="D143" t="s">
        <v>304</v>
      </c>
    </row>
    <row r="144" spans="1:10">
      <c r="A144">
        <v>2023</v>
      </c>
      <c r="B144">
        <v>3</v>
      </c>
      <c r="C144" t="s">
        <v>21</v>
      </c>
      <c r="D144" t="s">
        <v>304</v>
      </c>
      <c r="E144">
        <v>2</v>
      </c>
    </row>
    <row r="145" spans="1:5">
      <c r="A145">
        <v>2023</v>
      </c>
      <c r="B145">
        <v>4</v>
      </c>
      <c r="C145" t="s">
        <v>24</v>
      </c>
      <c r="D145" t="s">
        <v>304</v>
      </c>
      <c r="E145">
        <v>1</v>
      </c>
    </row>
    <row r="146" spans="1:5">
      <c r="A146">
        <v>2023</v>
      </c>
      <c r="B146">
        <v>5</v>
      </c>
      <c r="C146" t="s">
        <v>420</v>
      </c>
      <c r="D146" t="s">
        <v>304</v>
      </c>
    </row>
    <row r="147" spans="1:5">
      <c r="A147">
        <v>2023</v>
      </c>
      <c r="B147">
        <v>6</v>
      </c>
      <c r="C147" t="s">
        <v>434</v>
      </c>
      <c r="D147" t="s">
        <v>304</v>
      </c>
    </row>
    <row r="148" spans="1:5">
      <c r="A148">
        <v>2023</v>
      </c>
      <c r="B148">
        <v>7</v>
      </c>
      <c r="C148" t="s">
        <v>421</v>
      </c>
      <c r="D148" t="s">
        <v>304</v>
      </c>
    </row>
    <row r="149" spans="1:5">
      <c r="A149">
        <v>2023</v>
      </c>
      <c r="B149">
        <v>8</v>
      </c>
      <c r="C149" t="s">
        <v>422</v>
      </c>
      <c r="D149" t="s">
        <v>304</v>
      </c>
    </row>
    <row r="150" spans="1:5">
      <c r="A150">
        <v>2023</v>
      </c>
      <c r="B150">
        <v>9</v>
      </c>
      <c r="C150" t="s">
        <v>423</v>
      </c>
      <c r="D150" t="s">
        <v>315</v>
      </c>
    </row>
    <row r="151" spans="1:5">
      <c r="A151">
        <v>2023</v>
      </c>
      <c r="B151">
        <v>10</v>
      </c>
      <c r="C151" t="s">
        <v>367</v>
      </c>
      <c r="D151" t="s">
        <v>304</v>
      </c>
      <c r="E151">
        <v>1</v>
      </c>
    </row>
    <row r="152" spans="1:5">
      <c r="A152">
        <v>2023</v>
      </c>
      <c r="B152">
        <v>11</v>
      </c>
      <c r="C152" t="s">
        <v>424</v>
      </c>
      <c r="D152" t="s">
        <v>304</v>
      </c>
    </row>
    <row r="153" spans="1:5">
      <c r="A153">
        <v>2023</v>
      </c>
      <c r="B153">
        <v>12</v>
      </c>
      <c r="C153" t="s">
        <v>426</v>
      </c>
      <c r="D153" t="s">
        <v>304</v>
      </c>
    </row>
    <row r="154" spans="1:5">
      <c r="A154">
        <v>2023</v>
      </c>
      <c r="B154">
        <v>13</v>
      </c>
      <c r="C154" t="s">
        <v>428</v>
      </c>
      <c r="D154" t="s">
        <v>323</v>
      </c>
    </row>
    <row r="155" spans="1:5">
      <c r="A155">
        <v>2023</v>
      </c>
      <c r="B155">
        <v>14</v>
      </c>
      <c r="C155" t="s">
        <v>430</v>
      </c>
      <c r="D155" t="s">
        <v>304</v>
      </c>
    </row>
    <row r="156" spans="1:5">
      <c r="A156">
        <v>2023</v>
      </c>
      <c r="B156">
        <v>15</v>
      </c>
      <c r="C156" t="s">
        <v>59</v>
      </c>
      <c r="D156" t="s">
        <v>304</v>
      </c>
      <c r="E156">
        <v>2</v>
      </c>
    </row>
    <row r="157" spans="1:5">
      <c r="A157">
        <v>2023</v>
      </c>
      <c r="B157">
        <v>16</v>
      </c>
      <c r="C157" t="s">
        <v>432</v>
      </c>
      <c r="D157" t="s">
        <v>323</v>
      </c>
    </row>
    <row r="158" spans="1:5">
      <c r="A158">
        <v>2023</v>
      </c>
      <c r="B158">
        <v>17</v>
      </c>
      <c r="C158" t="s">
        <v>358</v>
      </c>
      <c r="D158" t="s">
        <v>304</v>
      </c>
      <c r="E158">
        <v>2</v>
      </c>
    </row>
    <row r="159" spans="1:5">
      <c r="A159">
        <v>2023</v>
      </c>
      <c r="B159">
        <v>18</v>
      </c>
      <c r="C159" t="s">
        <v>71</v>
      </c>
      <c r="D159" t="s">
        <v>323</v>
      </c>
    </row>
    <row r="160" spans="1:5">
      <c r="A160">
        <v>2023</v>
      </c>
      <c r="B160">
        <v>19</v>
      </c>
      <c r="C160" t="s">
        <v>68</v>
      </c>
      <c r="D160" t="s">
        <v>323</v>
      </c>
    </row>
    <row r="161" spans="1:5">
      <c r="A161">
        <v>2023</v>
      </c>
      <c r="B161">
        <v>20</v>
      </c>
      <c r="C161" t="s">
        <v>435</v>
      </c>
      <c r="D161" t="s">
        <v>304</v>
      </c>
    </row>
    <row r="162" spans="1:5">
      <c r="A162">
        <v>2023</v>
      </c>
      <c r="B162">
        <v>21</v>
      </c>
      <c r="C162" t="s">
        <v>436</v>
      </c>
      <c r="D162" t="s">
        <v>323</v>
      </c>
    </row>
    <row r="163" spans="1:5">
      <c r="A163">
        <v>2023</v>
      </c>
      <c r="B163">
        <v>22</v>
      </c>
      <c r="C163" t="s">
        <v>437</v>
      </c>
      <c r="D163" t="s">
        <v>304</v>
      </c>
    </row>
    <row r="164" spans="1:5">
      <c r="A164">
        <v>2023</v>
      </c>
      <c r="B164">
        <v>23</v>
      </c>
      <c r="C164" t="s">
        <v>88</v>
      </c>
      <c r="D164" t="s">
        <v>315</v>
      </c>
    </row>
    <row r="165" spans="1:5">
      <c r="A165">
        <v>2023</v>
      </c>
      <c r="B165">
        <v>24</v>
      </c>
      <c r="C165" t="s">
        <v>480</v>
      </c>
      <c r="D165" t="s">
        <v>304</v>
      </c>
      <c r="E165">
        <v>2</v>
      </c>
    </row>
    <row r="166" spans="1:5">
      <c r="A166">
        <v>2023</v>
      </c>
      <c r="B166">
        <v>25</v>
      </c>
      <c r="C166" t="s">
        <v>481</v>
      </c>
      <c r="D166" t="s">
        <v>304</v>
      </c>
    </row>
    <row r="167" spans="1:5">
      <c r="A167">
        <v>2023</v>
      </c>
      <c r="B167">
        <v>26</v>
      </c>
      <c r="C167" t="s">
        <v>98</v>
      </c>
      <c r="D167" t="s">
        <v>304</v>
      </c>
      <c r="E167">
        <v>1</v>
      </c>
    </row>
    <row r="168" spans="1:5">
      <c r="A168">
        <v>2023</v>
      </c>
      <c r="B168">
        <v>27</v>
      </c>
      <c r="C168" t="s">
        <v>482</v>
      </c>
      <c r="D168" t="s">
        <v>304</v>
      </c>
    </row>
    <row r="169" spans="1:5">
      <c r="A169">
        <v>2023</v>
      </c>
      <c r="B169">
        <v>28</v>
      </c>
      <c r="C169" t="s">
        <v>108</v>
      </c>
      <c r="D169" t="s">
        <v>304</v>
      </c>
      <c r="E169">
        <v>2</v>
      </c>
    </row>
    <row r="170" spans="1:5">
      <c r="A170">
        <v>2023</v>
      </c>
      <c r="B170">
        <v>29</v>
      </c>
      <c r="C170" t="s">
        <v>111</v>
      </c>
      <c r="D170" t="s">
        <v>304</v>
      </c>
      <c r="E170">
        <v>2</v>
      </c>
    </row>
    <row r="171" spans="1:5">
      <c r="A171">
        <v>2023</v>
      </c>
      <c r="B171">
        <v>30</v>
      </c>
      <c r="C171" t="s">
        <v>114</v>
      </c>
      <c r="D171" t="s">
        <v>315</v>
      </c>
    </row>
    <row r="172" spans="1:5">
      <c r="A172">
        <v>2023</v>
      </c>
      <c r="B172">
        <v>31</v>
      </c>
      <c r="C172" t="s">
        <v>441</v>
      </c>
      <c r="D172" t="s">
        <v>315</v>
      </c>
    </row>
    <row r="173" spans="1:5">
      <c r="A173">
        <v>2023</v>
      </c>
      <c r="B173">
        <v>32</v>
      </c>
      <c r="C173" t="s">
        <v>123</v>
      </c>
      <c r="D173" t="s">
        <v>315</v>
      </c>
      <c r="E173">
        <v>2</v>
      </c>
    </row>
    <row r="174" spans="1:5">
      <c r="A174">
        <v>2023</v>
      </c>
      <c r="B174">
        <v>33</v>
      </c>
      <c r="C174" t="s">
        <v>483</v>
      </c>
      <c r="D174" t="s">
        <v>304</v>
      </c>
      <c r="E174">
        <v>1</v>
      </c>
    </row>
    <row r="175" spans="1:5">
      <c r="A175">
        <v>2023</v>
      </c>
      <c r="B175">
        <v>34</v>
      </c>
      <c r="C175" t="s">
        <v>374</v>
      </c>
      <c r="D175" t="s">
        <v>304</v>
      </c>
      <c r="E175">
        <v>1</v>
      </c>
    </row>
    <row r="176" spans="1:5">
      <c r="A176">
        <v>2023</v>
      </c>
      <c r="B176">
        <v>35</v>
      </c>
      <c r="C176" t="s">
        <v>132</v>
      </c>
      <c r="D176" t="s">
        <v>323</v>
      </c>
    </row>
    <row r="177" spans="1:9">
      <c r="A177">
        <v>2023</v>
      </c>
      <c r="B177">
        <v>36</v>
      </c>
      <c r="C177" t="s">
        <v>356</v>
      </c>
      <c r="D177" t="s">
        <v>304</v>
      </c>
      <c r="E177">
        <v>1</v>
      </c>
    </row>
    <row r="178" spans="1:9">
      <c r="A178">
        <v>2023</v>
      </c>
      <c r="B178">
        <v>37</v>
      </c>
      <c r="C178" t="s">
        <v>407</v>
      </c>
      <c r="D178" t="s">
        <v>304</v>
      </c>
      <c r="E178">
        <v>1</v>
      </c>
    </row>
    <row r="179" spans="1:9">
      <c r="A179">
        <v>2023</v>
      </c>
      <c r="B179">
        <v>38</v>
      </c>
      <c r="C179" t="s">
        <v>141</v>
      </c>
      <c r="D179" t="s">
        <v>304</v>
      </c>
    </row>
    <row r="180" spans="1:9">
      <c r="A180">
        <v>2023</v>
      </c>
      <c r="B180">
        <v>39</v>
      </c>
      <c r="C180" t="s">
        <v>353</v>
      </c>
      <c r="D180" t="s">
        <v>304</v>
      </c>
      <c r="E180">
        <v>1</v>
      </c>
    </row>
    <row r="181" spans="1:9">
      <c r="A181">
        <v>2023</v>
      </c>
      <c r="B181">
        <v>40</v>
      </c>
      <c r="C181" t="s">
        <v>148</v>
      </c>
      <c r="D181" t="s">
        <v>304</v>
      </c>
      <c r="E181">
        <v>1</v>
      </c>
    </row>
    <row r="182" spans="1:9">
      <c r="A182">
        <v>2023</v>
      </c>
      <c r="B182">
        <v>41</v>
      </c>
      <c r="C182" t="s">
        <v>443</v>
      </c>
      <c r="D182" t="s">
        <v>304</v>
      </c>
    </row>
    <row r="183" spans="1:9">
      <c r="A183">
        <v>2023</v>
      </c>
      <c r="B183">
        <v>42</v>
      </c>
      <c r="C183" t="s">
        <v>444</v>
      </c>
      <c r="D183" t="s">
        <v>304</v>
      </c>
    </row>
    <row r="184" spans="1:9">
      <c r="A184">
        <v>2023</v>
      </c>
      <c r="B184">
        <v>43</v>
      </c>
      <c r="C184" t="s">
        <v>445</v>
      </c>
      <c r="D184" t="s">
        <v>323</v>
      </c>
    </row>
    <row r="185" spans="1:9">
      <c r="A185">
        <v>2023</v>
      </c>
      <c r="B185">
        <v>44</v>
      </c>
      <c r="C185" t="s">
        <v>416</v>
      </c>
      <c r="D185" t="s">
        <v>304</v>
      </c>
      <c r="E185">
        <v>3</v>
      </c>
    </row>
    <row r="186" spans="1:9">
      <c r="A186">
        <v>2023</v>
      </c>
      <c r="B186">
        <v>45</v>
      </c>
      <c r="C186" t="s">
        <v>447</v>
      </c>
      <c r="D186" t="s">
        <v>323</v>
      </c>
    </row>
    <row r="187" spans="1:9">
      <c r="A187">
        <v>2023</v>
      </c>
      <c r="B187">
        <v>46</v>
      </c>
      <c r="C187" t="s">
        <v>449</v>
      </c>
      <c r="D187" t="s">
        <v>323</v>
      </c>
    </row>
    <row r="188" spans="1:9">
      <c r="A188">
        <v>2023</v>
      </c>
      <c r="B188">
        <v>47</v>
      </c>
      <c r="C188" t="s">
        <v>181</v>
      </c>
      <c r="D188" t="s">
        <v>304</v>
      </c>
    </row>
    <row r="189" spans="1:9">
      <c r="B189">
        <v>48</v>
      </c>
      <c r="C189" t="s">
        <v>451</v>
      </c>
      <c r="D189" t="s">
        <v>304</v>
      </c>
    </row>
    <row r="190" spans="1:9">
      <c r="B190">
        <v>49</v>
      </c>
      <c r="C190" t="s">
        <v>453</v>
      </c>
      <c r="D190" t="s">
        <v>323</v>
      </c>
      <c r="E190" s="51"/>
      <c r="F190" s="29" t="s">
        <v>301</v>
      </c>
      <c r="G190" s="48" t="s">
        <v>302</v>
      </c>
      <c r="H190" s="49"/>
      <c r="I190" s="50"/>
    </row>
    <row r="191" spans="1:9">
      <c r="B191">
        <v>50</v>
      </c>
      <c r="C191" t="s">
        <v>455</v>
      </c>
      <c r="D191" t="s">
        <v>323</v>
      </c>
      <c r="E191" s="52"/>
      <c r="F191" s="30" t="s">
        <v>305</v>
      </c>
      <c r="G191" s="31" t="s">
        <v>306</v>
      </c>
      <c r="H191" s="31" t="s">
        <v>307</v>
      </c>
      <c r="I191" s="31" t="s">
        <v>308</v>
      </c>
    </row>
    <row r="192" spans="1:9">
      <c r="B192">
        <v>51</v>
      </c>
      <c r="C192" t="s">
        <v>456</v>
      </c>
      <c r="D192" t="s">
        <v>304</v>
      </c>
      <c r="E192" s="28" t="s">
        <v>310</v>
      </c>
      <c r="F192" s="30">
        <v>72</v>
      </c>
      <c r="G192" s="31" t="s">
        <v>311</v>
      </c>
      <c r="H192" s="31" t="s">
        <v>312</v>
      </c>
      <c r="I192" s="31" t="s">
        <v>313</v>
      </c>
    </row>
    <row r="193" spans="2:9">
      <c r="B193">
        <v>52</v>
      </c>
      <c r="C193" t="s">
        <v>457</v>
      </c>
      <c r="D193" t="s">
        <v>304</v>
      </c>
      <c r="E193" s="28" t="s">
        <v>315</v>
      </c>
      <c r="F193" s="30">
        <v>4</v>
      </c>
      <c r="G193" s="31" t="s">
        <v>316</v>
      </c>
      <c r="H193" s="31" t="s">
        <v>317</v>
      </c>
      <c r="I193" s="31" t="s">
        <v>318</v>
      </c>
    </row>
    <row r="194" spans="2:9">
      <c r="B194">
        <v>53</v>
      </c>
      <c r="C194" t="s">
        <v>459</v>
      </c>
      <c r="D194" t="s">
        <v>315</v>
      </c>
      <c r="E194" s="28" t="s">
        <v>320</v>
      </c>
      <c r="F194" s="30">
        <v>6</v>
      </c>
      <c r="G194" s="31"/>
      <c r="H194" s="31" t="s">
        <v>321</v>
      </c>
      <c r="I194" s="31" t="s">
        <v>321</v>
      </c>
    </row>
    <row r="195" spans="2:9">
      <c r="B195">
        <v>54</v>
      </c>
      <c r="C195" t="s">
        <v>460</v>
      </c>
      <c r="D195" t="s">
        <v>304</v>
      </c>
      <c r="E195" s="28" t="s">
        <v>323</v>
      </c>
      <c r="F195" s="30">
        <v>1</v>
      </c>
      <c r="G195" s="31"/>
      <c r="H195" s="31" t="s">
        <v>324</v>
      </c>
      <c r="I195" s="31" t="s">
        <v>324</v>
      </c>
    </row>
    <row r="196" spans="2:9">
      <c r="B196">
        <v>55</v>
      </c>
      <c r="C196" t="s">
        <v>461</v>
      </c>
      <c r="D196" t="s">
        <v>304</v>
      </c>
      <c r="E196" s="28" t="s">
        <v>326</v>
      </c>
      <c r="F196" s="30"/>
      <c r="G196" s="31"/>
      <c r="H196" s="31"/>
      <c r="I196" s="31">
        <v>0</v>
      </c>
    </row>
    <row r="197" spans="2:9">
      <c r="B197">
        <v>56</v>
      </c>
      <c r="C197" t="s">
        <v>462</v>
      </c>
      <c r="D197" t="s">
        <v>304</v>
      </c>
      <c r="E197" s="28" t="s">
        <v>308</v>
      </c>
      <c r="F197" s="30">
        <v>83</v>
      </c>
      <c r="G197" s="31" t="s">
        <v>328</v>
      </c>
      <c r="H197" s="31" t="s">
        <v>329</v>
      </c>
      <c r="I197" s="31" t="s">
        <v>330</v>
      </c>
    </row>
    <row r="198" spans="2:9">
      <c r="B198">
        <v>57</v>
      </c>
      <c r="C198" t="s">
        <v>463</v>
      </c>
      <c r="D198" t="s">
        <v>304</v>
      </c>
    </row>
    <row r="199" spans="2:9">
      <c r="B199">
        <v>58</v>
      </c>
      <c r="C199" t="s">
        <v>233</v>
      </c>
      <c r="D199" t="s">
        <v>304</v>
      </c>
    </row>
    <row r="200" spans="2:9">
      <c r="B200">
        <v>59</v>
      </c>
      <c r="C200" t="s">
        <v>465</v>
      </c>
      <c r="D200" t="s">
        <v>320</v>
      </c>
    </row>
    <row r="201" spans="2:9">
      <c r="B201">
        <v>60</v>
      </c>
      <c r="C201" t="s">
        <v>467</v>
      </c>
      <c r="D201" t="s">
        <v>323</v>
      </c>
    </row>
    <row r="202" spans="2:9">
      <c r="B202">
        <v>61</v>
      </c>
      <c r="C202" t="s">
        <v>468</v>
      </c>
      <c r="D202" t="s">
        <v>304</v>
      </c>
    </row>
    <row r="203" spans="2:9">
      <c r="B203">
        <v>62</v>
      </c>
      <c r="C203" t="s">
        <v>470</v>
      </c>
      <c r="D203" t="s">
        <v>323</v>
      </c>
    </row>
    <row r="204" spans="2:9">
      <c r="B204">
        <v>63</v>
      </c>
      <c r="C204" t="s">
        <v>472</v>
      </c>
      <c r="D204" t="s">
        <v>304</v>
      </c>
    </row>
  </sheetData>
  <autoFilter ref="A1:C105" xr:uid="{678935D0-7BEB-42C2-89B8-E123CDB78A09}"/>
  <mergeCells count="6">
    <mergeCell ref="G190:I190"/>
    <mergeCell ref="E190:E191"/>
    <mergeCell ref="L112:L113"/>
    <mergeCell ref="N112:P112"/>
    <mergeCell ref="L1:L2"/>
    <mergeCell ref="N1:P1"/>
  </mergeCells>
  <phoneticPr fontId="1" type="noConversion"/>
  <conditionalFormatting sqref="C1:C66 C213:C1048576 C207:C208 C105:C204">
    <cfRule type="duplicateValues" dxfId="58" priority="93"/>
  </conditionalFormatting>
  <conditionalFormatting sqref="C67:C104">
    <cfRule type="duplicateValues" dxfId="57" priority="81"/>
  </conditionalFormatting>
  <conditionalFormatting sqref="C213:C1048576 C207:C208 C1:C204">
    <cfRule type="duplicateValues" dxfId="56" priority="99"/>
  </conditionalFormatting>
  <conditionalFormatting sqref="J2:J66">
    <cfRule type="duplicateValues" dxfId="55" priority="65"/>
  </conditionalFormatting>
  <conditionalFormatting sqref="J2:J70">
    <cfRule type="duplicateValues" dxfId="54" priority="63"/>
  </conditionalFormatting>
  <conditionalFormatting sqref="J67:J70">
    <cfRule type="duplicateValues" dxfId="53" priority="64"/>
  </conditionalFormatting>
  <conditionalFormatting sqref="J71:J75">
    <cfRule type="duplicateValues" dxfId="52" priority="56"/>
    <cfRule type="duplicateValues" dxfId="51" priority="55"/>
  </conditionalFormatting>
  <conditionalFormatting sqref="J76">
    <cfRule type="duplicateValues" dxfId="50" priority="53"/>
    <cfRule type="duplicateValues" dxfId="49" priority="54"/>
  </conditionalFormatting>
  <conditionalFormatting sqref="J77:J78">
    <cfRule type="duplicateValues" dxfId="48" priority="52"/>
    <cfRule type="duplicateValues" dxfId="47" priority="51"/>
  </conditionalFormatting>
  <conditionalFormatting sqref="J79">
    <cfRule type="duplicateValues" dxfId="46" priority="50"/>
    <cfRule type="duplicateValues" dxfId="45" priority="49"/>
  </conditionalFormatting>
  <conditionalFormatting sqref="J80">
    <cfRule type="duplicateValues" dxfId="44" priority="48"/>
    <cfRule type="duplicateValues" dxfId="43" priority="47"/>
  </conditionalFormatting>
  <conditionalFormatting sqref="J81">
    <cfRule type="duplicateValues" dxfId="42" priority="46"/>
    <cfRule type="duplicateValues" dxfId="41" priority="45"/>
  </conditionalFormatting>
  <conditionalFormatting sqref="J82:J83">
    <cfRule type="duplicateValues" dxfId="40" priority="44"/>
    <cfRule type="duplicateValues" dxfId="39" priority="43"/>
  </conditionalFormatting>
  <conditionalFormatting sqref="J84">
    <cfRule type="duplicateValues" dxfId="38" priority="17"/>
    <cfRule type="duplicateValues" dxfId="37" priority="18"/>
  </conditionalFormatting>
  <conditionalFormatting sqref="J85">
    <cfRule type="duplicateValues" dxfId="36" priority="42"/>
    <cfRule type="duplicateValues" dxfId="35" priority="41"/>
  </conditionalFormatting>
  <conditionalFormatting sqref="J86">
    <cfRule type="duplicateValues" dxfId="34" priority="40"/>
    <cfRule type="duplicateValues" dxfId="33" priority="39"/>
  </conditionalFormatting>
  <conditionalFormatting sqref="J87:J89">
    <cfRule type="duplicateValues" dxfId="32" priority="37"/>
    <cfRule type="duplicateValues" dxfId="31" priority="38"/>
  </conditionalFormatting>
  <conditionalFormatting sqref="J90:J92">
    <cfRule type="duplicateValues" dxfId="30" priority="36"/>
    <cfRule type="duplicateValues" dxfId="29" priority="35"/>
  </conditionalFormatting>
  <conditionalFormatting sqref="J93:J94 J96">
    <cfRule type="duplicateValues" dxfId="28" priority="85"/>
    <cfRule type="duplicateValues" dxfId="27" priority="86"/>
  </conditionalFormatting>
  <conditionalFormatting sqref="J95">
    <cfRule type="duplicateValues" dxfId="26" priority="12"/>
    <cfRule type="duplicateValues" dxfId="25" priority="11"/>
  </conditionalFormatting>
  <conditionalFormatting sqref="J97:J103">
    <cfRule type="duplicateValues" dxfId="24" priority="32"/>
    <cfRule type="duplicateValues" dxfId="23" priority="31"/>
  </conditionalFormatting>
  <conditionalFormatting sqref="J104:J105">
    <cfRule type="duplicateValues" dxfId="22" priority="30"/>
    <cfRule type="duplicateValues" dxfId="21" priority="29"/>
  </conditionalFormatting>
  <conditionalFormatting sqref="J106">
    <cfRule type="duplicateValues" dxfId="20" priority="24"/>
    <cfRule type="duplicateValues" dxfId="19" priority="23"/>
  </conditionalFormatting>
  <conditionalFormatting sqref="J107">
    <cfRule type="duplicateValues" dxfId="18" priority="22"/>
    <cfRule type="duplicateValues" dxfId="17" priority="21"/>
  </conditionalFormatting>
  <conditionalFormatting sqref="J108:J110">
    <cfRule type="duplicateValues" dxfId="16" priority="20"/>
    <cfRule type="duplicateValues" dxfId="15" priority="19"/>
  </conditionalFormatting>
  <conditionalFormatting sqref="J111:J113">
    <cfRule type="duplicateValues" dxfId="14" priority="16"/>
    <cfRule type="duplicateValues" dxfId="13" priority="15"/>
  </conditionalFormatting>
  <conditionalFormatting sqref="J114:J117">
    <cfRule type="duplicateValues" dxfId="12" priority="10"/>
    <cfRule type="duplicateValues" dxfId="11" priority="9"/>
  </conditionalFormatting>
  <conditionalFormatting sqref="J118:J119">
    <cfRule type="duplicateValues" dxfId="10" priority="7"/>
    <cfRule type="duplicateValues" dxfId="9" priority="8"/>
  </conditionalFormatting>
  <conditionalFormatting sqref="J120">
    <cfRule type="duplicateValues" dxfId="8" priority="6"/>
    <cfRule type="duplicateValues" dxfId="7" priority="5"/>
  </conditionalFormatting>
  <conditionalFormatting sqref="J121:J122">
    <cfRule type="duplicateValues" dxfId="6" priority="3"/>
    <cfRule type="duplicateValues" dxfId="5" priority="4"/>
  </conditionalFormatting>
  <conditionalFormatting sqref="J128:J129">
    <cfRule type="duplicateValues" dxfId="4" priority="2"/>
    <cfRule type="duplicateValues" dxfId="3" priority="1"/>
  </conditionalFormatting>
  <conditionalFormatting sqref="L72:M111 L120:M140">
    <cfRule type="duplicateValues" dxfId="2" priority="68"/>
  </conditionalFormatting>
  <conditionalFormatting sqref="L72:M111 L120:M144">
    <cfRule type="duplicateValues" dxfId="1" priority="66"/>
  </conditionalFormatting>
  <conditionalFormatting sqref="L141:M144">
    <cfRule type="duplicateValues" dxfId="0" priority="67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4B36-2476-45C6-9DE4-0861E69E34B1}">
  <dimension ref="A1:D27"/>
  <sheetViews>
    <sheetView workbookViewId="0">
      <selection activeCell="A15" sqref="A15"/>
    </sheetView>
  </sheetViews>
  <sheetFormatPr defaultRowHeight="16.5"/>
  <cols>
    <col min="2" max="2" width="9" style="44"/>
    <col min="4" max="4" width="9.5" bestFit="1" customWidth="1"/>
  </cols>
  <sheetData>
    <row r="1" spans="1:4">
      <c r="A1" t="s">
        <v>1</v>
      </c>
      <c r="B1" s="44" t="s">
        <v>484</v>
      </c>
      <c r="C1" t="s">
        <v>485</v>
      </c>
      <c r="D1" t="s">
        <v>0</v>
      </c>
    </row>
    <row r="2" spans="1:4">
      <c r="A2" s="11">
        <v>45103</v>
      </c>
      <c r="B2" s="45"/>
      <c r="C2">
        <v>24</v>
      </c>
      <c r="D2">
        <v>25</v>
      </c>
    </row>
    <row r="3" spans="1:4">
      <c r="A3" s="11">
        <v>45104</v>
      </c>
      <c r="C3">
        <v>29</v>
      </c>
      <c r="D3">
        <v>24</v>
      </c>
    </row>
    <row r="4" spans="1:4">
      <c r="A4" s="11">
        <v>45105</v>
      </c>
      <c r="C4">
        <v>34</v>
      </c>
      <c r="D4">
        <v>23</v>
      </c>
    </row>
    <row r="5" spans="1:4">
      <c r="A5" s="11">
        <v>45106</v>
      </c>
      <c r="B5" s="44" t="s">
        <v>486</v>
      </c>
      <c r="C5">
        <v>42</v>
      </c>
      <c r="D5">
        <v>22</v>
      </c>
    </row>
    <row r="6" spans="1:4">
      <c r="A6" s="11">
        <v>45107</v>
      </c>
      <c r="B6" s="44" t="s">
        <v>487</v>
      </c>
      <c r="C6">
        <v>45</v>
      </c>
      <c r="D6">
        <v>21</v>
      </c>
    </row>
    <row r="7" spans="1:4">
      <c r="A7" s="11">
        <v>45108</v>
      </c>
      <c r="B7" s="44" t="s">
        <v>488</v>
      </c>
      <c r="C7">
        <v>46</v>
      </c>
      <c r="D7">
        <v>20</v>
      </c>
    </row>
    <row r="8" spans="1:4">
      <c r="A8" s="11">
        <v>45109</v>
      </c>
      <c r="B8" s="44" t="s">
        <v>489</v>
      </c>
      <c r="C8">
        <v>46</v>
      </c>
      <c r="D8">
        <v>19</v>
      </c>
    </row>
    <row r="9" spans="1:4">
      <c r="A9" s="11">
        <v>45110</v>
      </c>
      <c r="B9" s="44" t="s">
        <v>488</v>
      </c>
      <c r="C9">
        <v>47</v>
      </c>
      <c r="D9">
        <v>18</v>
      </c>
    </row>
    <row r="10" spans="1:4">
      <c r="A10" s="11">
        <v>45111</v>
      </c>
      <c r="B10" s="44" t="s">
        <v>490</v>
      </c>
      <c r="C10">
        <v>59</v>
      </c>
      <c r="D10">
        <v>17</v>
      </c>
    </row>
    <row r="11" spans="1:4">
      <c r="A11" s="11">
        <v>45112</v>
      </c>
      <c r="B11" s="44" t="s">
        <v>491</v>
      </c>
      <c r="C11">
        <v>61</v>
      </c>
      <c r="D11">
        <v>16</v>
      </c>
    </row>
    <row r="12" spans="1:4">
      <c r="A12" s="11">
        <v>45113</v>
      </c>
      <c r="B12" s="44" t="s">
        <v>491</v>
      </c>
      <c r="C12">
        <v>63</v>
      </c>
      <c r="D12">
        <v>15</v>
      </c>
    </row>
    <row r="13" spans="1:4">
      <c r="A13" s="11">
        <v>45114</v>
      </c>
      <c r="B13" s="44" t="s">
        <v>487</v>
      </c>
      <c r="C13">
        <v>66</v>
      </c>
      <c r="D13">
        <v>14</v>
      </c>
    </row>
    <row r="14" spans="1:4">
      <c r="A14" s="11">
        <v>45115</v>
      </c>
      <c r="B14" s="44" t="s">
        <v>489</v>
      </c>
      <c r="C14">
        <v>66</v>
      </c>
      <c r="D14">
        <v>13</v>
      </c>
    </row>
    <row r="15" spans="1:4">
      <c r="A15" s="11">
        <v>45116</v>
      </c>
      <c r="B15" s="44" t="s">
        <v>489</v>
      </c>
      <c r="C15">
        <v>66</v>
      </c>
      <c r="D15">
        <v>12</v>
      </c>
    </row>
    <row r="16" spans="1:4">
      <c r="A16" s="11">
        <v>45117</v>
      </c>
      <c r="D16">
        <v>11</v>
      </c>
    </row>
    <row r="17" spans="1:4">
      <c r="A17" s="11">
        <v>45118</v>
      </c>
      <c r="D17">
        <v>10</v>
      </c>
    </row>
    <row r="18" spans="1:4">
      <c r="A18" s="11">
        <v>45119</v>
      </c>
      <c r="D18">
        <v>9</v>
      </c>
    </row>
    <row r="19" spans="1:4">
      <c r="A19" s="11">
        <v>45120</v>
      </c>
      <c r="D19">
        <v>8</v>
      </c>
    </row>
    <row r="20" spans="1:4">
      <c r="A20" s="11">
        <v>45121</v>
      </c>
      <c r="D20">
        <v>7</v>
      </c>
    </row>
    <row r="21" spans="1:4">
      <c r="A21" s="11">
        <v>45122</v>
      </c>
      <c r="D21">
        <v>6</v>
      </c>
    </row>
    <row r="22" spans="1:4">
      <c r="A22" s="11">
        <v>45123</v>
      </c>
      <c r="D22">
        <v>5</v>
      </c>
    </row>
    <row r="23" spans="1:4">
      <c r="A23" s="11">
        <v>45124</v>
      </c>
      <c r="D23">
        <v>4</v>
      </c>
    </row>
    <row r="24" spans="1:4">
      <c r="A24" s="11">
        <v>45125</v>
      </c>
      <c r="D24">
        <v>3</v>
      </c>
    </row>
    <row r="25" spans="1:4">
      <c r="A25" s="11">
        <v>45126</v>
      </c>
      <c r="D25">
        <v>2</v>
      </c>
    </row>
    <row r="26" spans="1:4">
      <c r="A26" s="11">
        <v>45127</v>
      </c>
      <c r="D26">
        <v>1</v>
      </c>
    </row>
    <row r="27" spans="1:4">
      <c r="A27" s="11">
        <v>45128</v>
      </c>
      <c r="D27"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2513-626C-4C91-83BD-DB35F7D57A71}">
  <dimension ref="A1:E38"/>
  <sheetViews>
    <sheetView workbookViewId="0">
      <selection activeCell="G25" sqref="G25"/>
    </sheetView>
  </sheetViews>
  <sheetFormatPr defaultColWidth="9" defaultRowHeight="16.5"/>
  <sheetData>
    <row r="1" spans="1:5">
      <c r="A1">
        <v>2021</v>
      </c>
      <c r="B1">
        <v>2020</v>
      </c>
      <c r="C1" t="s">
        <v>0</v>
      </c>
      <c r="D1" s="10" t="s">
        <v>492</v>
      </c>
      <c r="E1" t="s">
        <v>493</v>
      </c>
    </row>
    <row r="2" spans="1:5">
      <c r="A2" s="11">
        <v>44189</v>
      </c>
      <c r="B2" s="11">
        <v>43845</v>
      </c>
      <c r="C2">
        <v>37</v>
      </c>
      <c r="D2" s="10">
        <v>0</v>
      </c>
      <c r="E2">
        <v>17</v>
      </c>
    </row>
    <row r="3" spans="1:5">
      <c r="A3" s="11">
        <v>44190</v>
      </c>
      <c r="B3" s="11">
        <v>43846</v>
      </c>
      <c r="C3">
        <v>36</v>
      </c>
      <c r="D3">
        <v>7</v>
      </c>
      <c r="E3">
        <v>23</v>
      </c>
    </row>
    <row r="4" spans="1:5">
      <c r="A4" s="11">
        <v>44191</v>
      </c>
      <c r="B4" s="11">
        <v>43847</v>
      </c>
      <c r="C4">
        <v>35</v>
      </c>
      <c r="D4">
        <v>12</v>
      </c>
      <c r="E4">
        <v>23</v>
      </c>
    </row>
    <row r="5" spans="1:5">
      <c r="A5" s="11">
        <v>44192</v>
      </c>
      <c r="B5" s="11">
        <v>43848</v>
      </c>
      <c r="C5">
        <v>34</v>
      </c>
      <c r="D5">
        <v>12</v>
      </c>
      <c r="E5">
        <v>23</v>
      </c>
    </row>
    <row r="6" spans="1:5">
      <c r="A6" s="11">
        <v>44193</v>
      </c>
      <c r="B6" s="11">
        <v>43849</v>
      </c>
      <c r="C6">
        <v>33</v>
      </c>
      <c r="D6">
        <v>12</v>
      </c>
      <c r="E6">
        <v>23</v>
      </c>
    </row>
    <row r="7" spans="1:5">
      <c r="A7" s="11">
        <v>44194</v>
      </c>
      <c r="B7" s="11">
        <v>43850</v>
      </c>
      <c r="C7">
        <v>32</v>
      </c>
      <c r="D7">
        <v>13</v>
      </c>
      <c r="E7">
        <v>25</v>
      </c>
    </row>
    <row r="8" spans="1:5">
      <c r="A8" s="11">
        <v>44195</v>
      </c>
      <c r="B8" s="11">
        <v>43851</v>
      </c>
      <c r="C8">
        <v>31</v>
      </c>
      <c r="D8">
        <v>21</v>
      </c>
      <c r="E8">
        <v>26</v>
      </c>
    </row>
    <row r="9" spans="1:5">
      <c r="A9" s="11">
        <v>44196</v>
      </c>
      <c r="B9" s="11">
        <v>43852</v>
      </c>
      <c r="C9">
        <v>30</v>
      </c>
      <c r="D9">
        <v>23</v>
      </c>
      <c r="E9">
        <v>26</v>
      </c>
    </row>
    <row r="10" spans="1:5">
      <c r="A10" s="11">
        <v>44197</v>
      </c>
      <c r="B10" s="11">
        <v>43853</v>
      </c>
      <c r="C10">
        <v>29</v>
      </c>
      <c r="D10">
        <v>23</v>
      </c>
      <c r="E10">
        <v>26</v>
      </c>
    </row>
    <row r="11" spans="1:5">
      <c r="A11" s="11">
        <v>44198</v>
      </c>
      <c r="B11" s="11">
        <v>43854</v>
      </c>
      <c r="C11">
        <v>28</v>
      </c>
      <c r="D11">
        <v>25</v>
      </c>
      <c r="E11">
        <v>26</v>
      </c>
    </row>
    <row r="12" spans="1:5">
      <c r="A12" s="11">
        <v>44199</v>
      </c>
      <c r="B12" s="11">
        <v>43855</v>
      </c>
      <c r="C12">
        <v>27</v>
      </c>
      <c r="D12">
        <v>25</v>
      </c>
      <c r="E12">
        <v>26</v>
      </c>
    </row>
    <row r="13" spans="1:5">
      <c r="A13" s="11">
        <v>44200</v>
      </c>
      <c r="B13" s="11">
        <v>43856</v>
      </c>
      <c r="C13">
        <v>26</v>
      </c>
      <c r="D13">
        <v>25</v>
      </c>
      <c r="E13">
        <v>26</v>
      </c>
    </row>
    <row r="14" spans="1:5">
      <c r="A14" s="11">
        <v>44201</v>
      </c>
      <c r="B14" s="11">
        <v>43857</v>
      </c>
      <c r="C14">
        <v>25</v>
      </c>
      <c r="D14">
        <v>29</v>
      </c>
      <c r="E14">
        <v>26</v>
      </c>
    </row>
    <row r="15" spans="1:5">
      <c r="A15" s="11">
        <v>44202</v>
      </c>
      <c r="B15" s="11">
        <v>43858</v>
      </c>
      <c r="C15">
        <v>24</v>
      </c>
      <c r="D15">
        <v>30</v>
      </c>
      <c r="E15">
        <v>26</v>
      </c>
    </row>
    <row r="16" spans="1:5">
      <c r="A16" s="11">
        <v>44203</v>
      </c>
      <c r="B16" s="11">
        <v>43859</v>
      </c>
      <c r="C16">
        <v>23</v>
      </c>
      <c r="D16">
        <v>33</v>
      </c>
      <c r="E16">
        <v>31</v>
      </c>
    </row>
    <row r="17" spans="1:5">
      <c r="A17" s="11">
        <v>44204</v>
      </c>
      <c r="B17" s="11">
        <v>43860</v>
      </c>
      <c r="C17">
        <v>22</v>
      </c>
      <c r="D17">
        <v>34</v>
      </c>
      <c r="E17">
        <v>54</v>
      </c>
    </row>
    <row r="18" spans="1:5">
      <c r="A18" s="11">
        <v>44205</v>
      </c>
      <c r="B18" s="11">
        <v>43861</v>
      </c>
      <c r="C18">
        <v>21</v>
      </c>
      <c r="D18">
        <v>37</v>
      </c>
      <c r="E18">
        <v>54</v>
      </c>
    </row>
    <row r="19" spans="1:5">
      <c r="A19" s="11">
        <v>44206</v>
      </c>
      <c r="B19" s="11">
        <v>43862</v>
      </c>
      <c r="C19">
        <v>20</v>
      </c>
      <c r="D19">
        <v>37</v>
      </c>
      <c r="E19">
        <v>54</v>
      </c>
    </row>
    <row r="20" spans="1:5">
      <c r="A20" s="11">
        <v>44207</v>
      </c>
      <c r="B20" s="11">
        <v>43863</v>
      </c>
      <c r="C20">
        <v>19</v>
      </c>
      <c r="D20">
        <v>37</v>
      </c>
      <c r="E20">
        <v>61</v>
      </c>
    </row>
    <row r="21" spans="1:5">
      <c r="A21" s="11">
        <v>44208</v>
      </c>
      <c r="B21" s="11">
        <v>43864</v>
      </c>
      <c r="C21">
        <v>18</v>
      </c>
      <c r="D21">
        <v>49</v>
      </c>
      <c r="E21">
        <v>89</v>
      </c>
    </row>
    <row r="22" spans="1:5">
      <c r="A22" s="11">
        <v>44209</v>
      </c>
      <c r="B22" s="11">
        <v>43865</v>
      </c>
      <c r="C22">
        <v>17</v>
      </c>
      <c r="D22">
        <v>61</v>
      </c>
      <c r="E22">
        <v>123</v>
      </c>
    </row>
    <row r="23" spans="1:5">
      <c r="A23" s="11">
        <v>44210</v>
      </c>
      <c r="B23" s="11">
        <v>43866</v>
      </c>
      <c r="C23">
        <v>16</v>
      </c>
      <c r="D23">
        <v>92</v>
      </c>
      <c r="E23">
        <v>130</v>
      </c>
    </row>
    <row r="24" spans="1:5">
      <c r="A24" s="11">
        <v>44211</v>
      </c>
      <c r="B24" s="11">
        <v>43867</v>
      </c>
      <c r="C24">
        <v>15</v>
      </c>
      <c r="D24">
        <v>138</v>
      </c>
      <c r="E24">
        <v>139</v>
      </c>
    </row>
    <row r="25" spans="1:5">
      <c r="A25" s="11">
        <v>44212</v>
      </c>
      <c r="B25" s="11">
        <v>43868</v>
      </c>
      <c r="C25">
        <v>14</v>
      </c>
      <c r="D25">
        <v>163</v>
      </c>
      <c r="E25">
        <v>159</v>
      </c>
    </row>
    <row r="26" spans="1:5">
      <c r="A26" s="11">
        <v>44213</v>
      </c>
      <c r="B26" s="11">
        <v>43869</v>
      </c>
      <c r="C26">
        <v>13</v>
      </c>
      <c r="D26">
        <v>163</v>
      </c>
      <c r="E26">
        <v>162</v>
      </c>
    </row>
    <row r="27" spans="1:5">
      <c r="A27" s="11">
        <v>44214</v>
      </c>
      <c r="B27" s="11">
        <v>43870</v>
      </c>
      <c r="C27">
        <v>12</v>
      </c>
      <c r="D27">
        <v>163</v>
      </c>
      <c r="E27">
        <v>165</v>
      </c>
    </row>
    <row r="28" spans="1:5">
      <c r="A28" s="11">
        <v>44215</v>
      </c>
      <c r="B28" s="11">
        <v>43871</v>
      </c>
      <c r="C28">
        <v>11</v>
      </c>
      <c r="D28">
        <v>182</v>
      </c>
      <c r="E28">
        <v>178</v>
      </c>
    </row>
    <row r="29" spans="1:5">
      <c r="A29" s="11">
        <v>44216</v>
      </c>
      <c r="B29" s="11">
        <v>43872</v>
      </c>
      <c r="C29">
        <v>10</v>
      </c>
      <c r="D29">
        <v>199</v>
      </c>
      <c r="E29">
        <v>183</v>
      </c>
    </row>
    <row r="30" spans="1:5">
      <c r="A30" s="11">
        <v>44217</v>
      </c>
      <c r="B30" s="11">
        <v>43873</v>
      </c>
      <c r="C30">
        <v>9</v>
      </c>
      <c r="D30">
        <v>209</v>
      </c>
      <c r="E30">
        <v>198</v>
      </c>
    </row>
    <row r="31" spans="1:5">
      <c r="A31" s="11">
        <v>44218</v>
      </c>
      <c r="B31" s="11">
        <v>43874</v>
      </c>
      <c r="C31">
        <v>8</v>
      </c>
      <c r="D31">
        <v>218</v>
      </c>
    </row>
    <row r="32" spans="1:5">
      <c r="A32" s="11">
        <v>44219</v>
      </c>
      <c r="B32" s="11">
        <v>43875</v>
      </c>
      <c r="C32">
        <v>7</v>
      </c>
      <c r="D32">
        <v>226</v>
      </c>
    </row>
    <row r="33" spans="1:4">
      <c r="A33" s="11">
        <v>44220</v>
      </c>
      <c r="B33" s="11">
        <v>43876</v>
      </c>
      <c r="C33">
        <v>6</v>
      </c>
      <c r="D33">
        <v>232</v>
      </c>
    </row>
    <row r="34" spans="1:4">
      <c r="A34" s="11">
        <v>44221</v>
      </c>
      <c r="B34" s="11">
        <v>43877</v>
      </c>
      <c r="C34">
        <v>5</v>
      </c>
      <c r="D34">
        <v>232</v>
      </c>
    </row>
    <row r="35" spans="1:4">
      <c r="A35" s="11">
        <v>44222</v>
      </c>
      <c r="B35" s="11">
        <v>43878</v>
      </c>
      <c r="C35">
        <v>4</v>
      </c>
      <c r="D35">
        <v>241</v>
      </c>
    </row>
    <row r="36" spans="1:4">
      <c r="A36" s="11">
        <v>44223</v>
      </c>
      <c r="B36" s="11">
        <v>43879</v>
      </c>
      <c r="C36">
        <v>3</v>
      </c>
      <c r="D36">
        <v>251</v>
      </c>
    </row>
    <row r="37" spans="1:4">
      <c r="A37" s="11">
        <v>44224</v>
      </c>
      <c r="B37" s="11">
        <v>43880</v>
      </c>
      <c r="C37">
        <v>2</v>
      </c>
      <c r="D37">
        <v>260</v>
      </c>
    </row>
    <row r="38" spans="1:4">
      <c r="A38" s="11">
        <v>44225</v>
      </c>
      <c r="B38" s="11">
        <v>43881</v>
      </c>
      <c r="C38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B04256A4BBAD5F4CAB762EF2AB122B45" ma:contentTypeVersion="18" ma:contentTypeDescription="建立新的文件。" ma:contentTypeScope="" ma:versionID="d0e73f8d8ea75e3d6374920cb9b9f4a1">
  <xsd:schema xmlns:xsd="http://www.w3.org/2001/XMLSchema" xmlns:xs="http://www.w3.org/2001/XMLSchema" xmlns:p="http://schemas.microsoft.com/office/2006/metadata/properties" xmlns:ns2="010e9b81-eb26-47f9-968e-9f62ff77bac3" xmlns:ns3="378cfe4f-d8bc-426d-95b3-041b44454efb" targetNamespace="http://schemas.microsoft.com/office/2006/metadata/properties" ma:root="true" ma:fieldsID="41ea2b3ddc710ee16ff3ffa5d718f936" ns2:_="" ns3:_="">
    <xsd:import namespace="010e9b81-eb26-47f9-968e-9f62ff77bac3"/>
    <xsd:import namespace="378cfe4f-d8bc-426d-95b3-041b44454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e9b81-eb26-47f9-968e-9f62ff77ba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fdb2b2c1-873c-418f-852d-4edf890e9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cfe4f-d8bc-426d-95b3-041b44454ef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0de2b-6b5c-475d-95fe-5c91b08ff23e}" ma:internalName="TaxCatchAll" ma:showField="CatchAllData" ma:web="378cfe4f-d8bc-426d-95b3-041b44454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0e9b81-eb26-47f9-968e-9f62ff77bac3">
      <Terms xmlns="http://schemas.microsoft.com/office/infopath/2007/PartnerControls"/>
    </lcf76f155ced4ddcb4097134ff3c332f>
    <TaxCatchAll xmlns="378cfe4f-d8bc-426d-95b3-041b44454efb" xsi:nil="true"/>
  </documentManagement>
</p:properties>
</file>

<file path=customXml/itemProps1.xml><?xml version="1.0" encoding="utf-8"?>
<ds:datastoreItem xmlns:ds="http://schemas.openxmlformats.org/officeDocument/2006/customXml" ds:itemID="{FF20DF34-5599-4426-9020-38B448A82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1F0281-E1B9-44DB-952D-028BEB33B090}"/>
</file>

<file path=customXml/itemProps3.xml><?xml version="1.0" encoding="utf-8"?>
<ds:datastoreItem xmlns:ds="http://schemas.openxmlformats.org/officeDocument/2006/customXml" ds:itemID="{F87F3E3C-AF6E-4236-8F36-D99B72797945}">
  <ds:schemaRefs>
    <ds:schemaRef ds:uri="http://schemas.microsoft.com/office/2006/metadata/properties"/>
    <ds:schemaRef ds:uri="http://schemas.microsoft.com/office/infopath/2007/PartnerControls"/>
    <ds:schemaRef ds:uri="010e9b81-eb26-47f9-968e-9f62ff77bac3"/>
    <ds:schemaRef ds:uri="378cfe4f-d8bc-426d-95b3-041b44454e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徵件趨勢</vt:lpstr>
      <vt:lpstr>工作坊趨勢</vt:lpstr>
      <vt:lpstr>2023報名</vt:lpstr>
      <vt:lpstr>徵件-歷屆每週趨勢</vt:lpstr>
      <vt:lpstr>歷屆網路人氣獎</vt:lpstr>
      <vt:lpstr>參獎過的企業總表</vt:lpstr>
      <vt:lpstr>工作表1</vt:lpstr>
      <vt:lpstr>頒獎典禮_每日趨勢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林綵羚</cp:lastModifiedBy>
  <cp:revision/>
  <dcterms:created xsi:type="dcterms:W3CDTF">2020-08-25T01:14:33Z</dcterms:created>
  <dcterms:modified xsi:type="dcterms:W3CDTF">2024-04-26T02:47:48Z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0x010100B04256A4BBAD5F4CAB762EF2AB122B45</vt:lpwstr>
  </property>
  <property fmtid="{D5CDD505-2E9C-101B-9397-08002B2CF9AE}" pid="3" name="MediaServiceImageTags">
    <vt:lpwstr/>
  </property>
</Properties>
</file>